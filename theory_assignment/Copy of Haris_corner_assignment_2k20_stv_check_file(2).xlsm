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iu\Downloads\"/>
    </mc:Choice>
  </mc:AlternateContent>
  <xr:revisionPtr revIDLastSave="0" documentId="13_ncr:1_{FA42D961-3EB1-45D7-9CC0-8CC667525A69}" xr6:coauthVersionLast="47" xr6:coauthVersionMax="47" xr10:uidLastSave="{00000000-0000-0000-0000-000000000000}"/>
  <bookViews>
    <workbookView xWindow="-108" yWindow="-108" windowWidth="23256" windowHeight="12456" xr2:uid="{7295E5EE-90DA-4210-8ADB-C3EFBC8015DD}"/>
  </bookViews>
  <sheets>
    <sheet name="Put you Data" sheetId="11" r:id="rId1"/>
    <sheet name="Gen Image" sheetId="1" r:id="rId2"/>
    <sheet name="calcu" sheetId="10" r:id="rId3"/>
    <sheet name="Diffrences n point" sheetId="1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11" l="1"/>
  <c r="N19" i="12"/>
  <c r="O19" i="12"/>
  <c r="P19" i="12"/>
  <c r="N20" i="12"/>
  <c r="O20" i="12"/>
  <c r="P20" i="12"/>
  <c r="N21" i="12"/>
  <c r="O21" i="12"/>
  <c r="P21" i="12"/>
  <c r="I19" i="12"/>
  <c r="F19" i="12"/>
  <c r="F20" i="12"/>
  <c r="D19" i="12"/>
  <c r="I20" i="12"/>
  <c r="J20" i="12"/>
  <c r="K20" i="12"/>
  <c r="I21" i="12"/>
  <c r="J21" i="12"/>
  <c r="K21" i="12"/>
  <c r="J19" i="12"/>
  <c r="K19" i="12"/>
  <c r="D20" i="12"/>
  <c r="E20" i="12"/>
  <c r="D21" i="12"/>
  <c r="E21" i="12"/>
  <c r="F21" i="12"/>
  <c r="E19" i="12"/>
  <c r="Q22" i="12" l="1"/>
  <c r="R23" i="12" s="1"/>
  <c r="L22" i="12"/>
  <c r="M23" i="12" s="1"/>
  <c r="G22" i="12"/>
  <c r="H23" i="12" s="1"/>
  <c r="L22" i="11" a="1"/>
  <c r="L22" i="11" s="1"/>
  <c r="G22" i="11" a="1"/>
  <c r="G22" i="11" s="1"/>
  <c r="C4" i="1"/>
  <c r="V6" i="10" a="1"/>
  <c r="V6" i="10" s="1"/>
  <c r="S10" i="10"/>
  <c r="S13" i="10" s="1"/>
  <c r="I131" i="10"/>
  <c r="AO55" i="10"/>
  <c r="Y55" i="10"/>
  <c r="I55" i="10"/>
  <c r="AE3" i="10" a="1"/>
  <c r="AE3" i="10" s="1"/>
  <c r="AA7" i="10"/>
  <c r="AO28" i="10"/>
  <c r="AP28" i="10"/>
  <c r="AN28" i="10"/>
  <c r="AM29" i="10" s="1" a="1"/>
  <c r="AM29" i="10" s="1"/>
  <c r="AN29" i="10" s="1" a="1"/>
  <c r="AN29" i="10" s="1"/>
  <c r="AJ34" i="10"/>
  <c r="S7" i="10"/>
  <c r="W3" i="10" a="1"/>
  <c r="W3" i="10" s="1"/>
  <c r="Q22" i="11" l="1"/>
  <c r="S12" i="10"/>
  <c r="U12" i="10"/>
  <c r="U14" i="10"/>
  <c r="T13" i="10"/>
  <c r="T12" i="10"/>
  <c r="T14" i="10"/>
  <c r="S14" i="10"/>
  <c r="U13" i="10"/>
  <c r="AP31" i="10"/>
  <c r="AO31" i="10"/>
  <c r="AN31" i="10"/>
  <c r="AP30" i="10"/>
  <c r="AO30" i="10"/>
  <c r="AN30" i="10"/>
  <c r="AP29" i="10"/>
  <c r="AO29" i="10"/>
  <c r="C19" i="1"/>
  <c r="V15" i="10" l="1" a="1"/>
  <c r="V15" i="10" s="1"/>
  <c r="Y13" i="10" s="1"/>
  <c r="X13" i="10"/>
  <c r="AQ32" i="10"/>
  <c r="C35" i="1"/>
  <c r="C25" i="1"/>
  <c r="C21" i="1"/>
  <c r="C29" i="1"/>
  <c r="C22" i="1"/>
  <c r="C24" i="1"/>
  <c r="C27" i="1"/>
  <c r="C33" i="1"/>
  <c r="C36" i="1"/>
  <c r="C26" i="1"/>
  <c r="C30" i="1"/>
  <c r="C31" i="1"/>
  <c r="C32" i="1"/>
  <c r="C23" i="1"/>
  <c r="C28" i="1"/>
  <c r="C34" i="1"/>
  <c r="C20" i="1"/>
  <c r="Z12" i="10" l="1"/>
  <c r="AA15" i="10" s="1" a="1"/>
  <c r="AA15" i="10" s="1"/>
  <c r="Y14" i="10"/>
  <c r="X14" i="10"/>
  <c r="X12" i="10"/>
  <c r="Y12" i="10"/>
  <c r="Z14" i="10"/>
  <c r="Z13" i="10"/>
  <c r="D33" i="1"/>
  <c r="I33" i="1" s="1"/>
  <c r="X33" i="1" s="1"/>
  <c r="D24" i="1"/>
  <c r="I24" i="1" s="1"/>
  <c r="X24" i="1" s="1"/>
  <c r="D27" i="1"/>
  <c r="I27" i="1" s="1"/>
  <c r="X27" i="1" s="1"/>
  <c r="D29" i="1"/>
  <c r="I29" i="1" s="1"/>
  <c r="X29" i="1" s="1"/>
  <c r="D22" i="1"/>
  <c r="I22" i="1" s="1"/>
  <c r="X22" i="1" s="1"/>
  <c r="D21" i="1"/>
  <c r="I21" i="1" s="1"/>
  <c r="X21" i="1" s="1"/>
  <c r="D28" i="1"/>
  <c r="I28" i="1" s="1"/>
  <c r="X28" i="1" s="1"/>
  <c r="D34" i="1"/>
  <c r="D42" i="1" s="1"/>
  <c r="E42" i="1" s="1"/>
  <c r="J42" i="1" s="1"/>
  <c r="D25" i="1"/>
  <c r="I25" i="1" s="1"/>
  <c r="X25" i="1" s="1"/>
  <c r="D31" i="1"/>
  <c r="I31" i="1" s="1"/>
  <c r="X31" i="1" s="1"/>
  <c r="D23" i="1"/>
  <c r="I23" i="1" s="1"/>
  <c r="X23" i="1" s="1"/>
  <c r="D36" i="1"/>
  <c r="D39" i="1" s="1"/>
  <c r="E39" i="1" s="1"/>
  <c r="J39" i="1" s="1"/>
  <c r="K39" i="1" s="1"/>
  <c r="D26" i="1"/>
  <c r="D30" i="1"/>
  <c r="D35" i="1"/>
  <c r="I35" i="1" s="1"/>
  <c r="X35" i="1" s="1"/>
  <c r="D32" i="1"/>
  <c r="E31" i="1"/>
  <c r="J31" i="1"/>
  <c r="G31" i="1"/>
  <c r="G30" i="1"/>
  <c r="J30" i="1"/>
  <c r="E30" i="1"/>
  <c r="E26" i="1"/>
  <c r="J26" i="1"/>
  <c r="G26" i="1"/>
  <c r="E36" i="1"/>
  <c r="J36" i="1"/>
  <c r="E33" i="1"/>
  <c r="J33" i="1"/>
  <c r="G33" i="1"/>
  <c r="J28" i="1"/>
  <c r="G28" i="1"/>
  <c r="E28" i="1"/>
  <c r="G27" i="1"/>
  <c r="E27" i="1"/>
  <c r="J27" i="1"/>
  <c r="E34" i="1"/>
  <c r="G34" i="1"/>
  <c r="J34" i="1"/>
  <c r="G32" i="1"/>
  <c r="J32" i="1"/>
  <c r="E32" i="1"/>
  <c r="G24" i="1"/>
  <c r="E24" i="1"/>
  <c r="J24" i="1"/>
  <c r="J22" i="1"/>
  <c r="E22" i="1"/>
  <c r="G22" i="1"/>
  <c r="E29" i="1"/>
  <c r="J29" i="1"/>
  <c r="G29" i="1"/>
  <c r="E21" i="1"/>
  <c r="J21" i="1"/>
  <c r="C37" i="1"/>
  <c r="G36" i="1" s="1"/>
  <c r="G21" i="1"/>
  <c r="J25" i="1"/>
  <c r="E25" i="1"/>
  <c r="G25" i="1"/>
  <c r="E23" i="1"/>
  <c r="J23" i="1"/>
  <c r="G23" i="1"/>
  <c r="E35" i="1"/>
  <c r="G35" i="1"/>
  <c r="J35" i="1"/>
  <c r="AI12" i="1" l="1"/>
  <c r="AB12" i="10" a="1"/>
  <c r="AB12" i="10" s="1"/>
  <c r="AE15" i="10" s="1" a="1"/>
  <c r="AE15" i="10" s="1"/>
  <c r="AI16" i="1"/>
  <c r="AI4" i="1"/>
  <c r="AI10" i="1"/>
  <c r="AI6" i="1"/>
  <c r="AI14" i="1"/>
  <c r="AI8" i="1"/>
  <c r="AI5" i="1"/>
  <c r="O41" i="1"/>
  <c r="W35" i="1"/>
  <c r="Y35" i="1"/>
  <c r="M33" i="1"/>
  <c r="N33" i="1"/>
  <c r="K30" i="1"/>
  <c r="AA30" i="1" s="1"/>
  <c r="F30" i="1"/>
  <c r="H30" i="1"/>
  <c r="M28" i="1"/>
  <c r="N28" i="1"/>
  <c r="Z28" i="1"/>
  <c r="K32" i="1"/>
  <c r="AA32" i="1" s="1"/>
  <c r="F32" i="1"/>
  <c r="H32" i="1"/>
  <c r="O36" i="1"/>
  <c r="R36" i="1"/>
  <c r="S36" i="1"/>
  <c r="K36" i="1"/>
  <c r="AA36" i="1" s="1"/>
  <c r="F36" i="1"/>
  <c r="N35" i="1"/>
  <c r="M35" i="1"/>
  <c r="O31" i="1"/>
  <c r="S31" i="1"/>
  <c r="R31" i="1"/>
  <c r="W23" i="1"/>
  <c r="Y23" i="1"/>
  <c r="K35" i="1"/>
  <c r="AA35" i="1" s="1"/>
  <c r="F35" i="1"/>
  <c r="H35" i="1"/>
  <c r="Y25" i="1"/>
  <c r="W25" i="1"/>
  <c r="Z25" i="1"/>
  <c r="I32" i="1"/>
  <c r="X32" i="1" s="1"/>
  <c r="Z36" i="1"/>
  <c r="K23" i="1"/>
  <c r="AA23" i="1" s="1"/>
  <c r="H23" i="1"/>
  <c r="F23" i="1"/>
  <c r="N29" i="1"/>
  <c r="M29" i="1"/>
  <c r="R22" i="1"/>
  <c r="O22" i="1"/>
  <c r="S22" i="1"/>
  <c r="Z23" i="1"/>
  <c r="Z31" i="1"/>
  <c r="N23" i="1"/>
  <c r="M23" i="1"/>
  <c r="Y24" i="1"/>
  <c r="W24" i="1"/>
  <c r="K26" i="1"/>
  <c r="AA26" i="1" s="1"/>
  <c r="H26" i="1"/>
  <c r="F26" i="1"/>
  <c r="Z32" i="1"/>
  <c r="M36" i="1"/>
  <c r="N36" i="1"/>
  <c r="K31" i="1"/>
  <c r="AA31" i="1" s="1"/>
  <c r="F31" i="1"/>
  <c r="H31" i="1"/>
  <c r="W27" i="1"/>
  <c r="Y27" i="1"/>
  <c r="S28" i="1"/>
  <c r="R28" i="1"/>
  <c r="O28" i="1"/>
  <c r="S33" i="1"/>
  <c r="R33" i="1"/>
  <c r="O33" i="1"/>
  <c r="S25" i="1"/>
  <c r="R25" i="1"/>
  <c r="O25" i="1"/>
  <c r="N25" i="1"/>
  <c r="M25" i="1"/>
  <c r="R21" i="1"/>
  <c r="O21" i="1"/>
  <c r="S21" i="1"/>
  <c r="R32" i="1"/>
  <c r="O32" i="1"/>
  <c r="S32" i="1"/>
  <c r="I36" i="1"/>
  <c r="X36" i="1" s="1"/>
  <c r="K25" i="1"/>
  <c r="AA25" i="1" s="1"/>
  <c r="H25" i="1"/>
  <c r="F25" i="1"/>
  <c r="O35" i="1"/>
  <c r="S35" i="1"/>
  <c r="R35" i="1"/>
  <c r="Z29" i="1"/>
  <c r="S23" i="1"/>
  <c r="R23" i="1"/>
  <c r="O23" i="1"/>
  <c r="M22" i="1"/>
  <c r="N22" i="1"/>
  <c r="Z22" i="1"/>
  <c r="N24" i="1"/>
  <c r="M24" i="1"/>
  <c r="Z33" i="1"/>
  <c r="W33" i="1"/>
  <c r="Y33" i="1"/>
  <c r="Z21" i="1"/>
  <c r="Z34" i="1"/>
  <c r="O26" i="1"/>
  <c r="S26" i="1"/>
  <c r="R26" i="1"/>
  <c r="K34" i="1"/>
  <c r="AA34" i="1" s="1"/>
  <c r="H34" i="1"/>
  <c r="F34" i="1"/>
  <c r="F42" i="1"/>
  <c r="G42" i="1" s="1"/>
  <c r="Z24" i="1"/>
  <c r="R24" i="1"/>
  <c r="O24" i="1"/>
  <c r="S24" i="1"/>
  <c r="M32" i="1"/>
  <c r="N32" i="1"/>
  <c r="N21" i="1"/>
  <c r="M21" i="1"/>
  <c r="I34" i="1"/>
  <c r="X34" i="1" s="1"/>
  <c r="Z26" i="1"/>
  <c r="K28" i="1"/>
  <c r="AA28" i="1" s="1"/>
  <c r="H28" i="1"/>
  <c r="F28" i="1"/>
  <c r="F39" i="1"/>
  <c r="G39" i="1" s="1"/>
  <c r="O34" i="1"/>
  <c r="S34" i="1"/>
  <c r="R34" i="1"/>
  <c r="M26" i="1"/>
  <c r="N26" i="1"/>
  <c r="H21" i="1"/>
  <c r="K21" i="1"/>
  <c r="AA21" i="1" s="1"/>
  <c r="D40" i="1"/>
  <c r="E40" i="1" s="1"/>
  <c r="J40" i="1" s="1"/>
  <c r="K40" i="1" s="1"/>
  <c r="D37" i="1"/>
  <c r="H36" i="1" s="1"/>
  <c r="F21" i="1"/>
  <c r="Y31" i="1"/>
  <c r="W31" i="1"/>
  <c r="W21" i="1"/>
  <c r="Y21" i="1"/>
  <c r="N34" i="1"/>
  <c r="M34" i="1"/>
  <c r="I26" i="1"/>
  <c r="X26" i="1" s="1"/>
  <c r="AI7" i="1" s="1"/>
  <c r="H22" i="1"/>
  <c r="F22" i="1"/>
  <c r="K22" i="1"/>
  <c r="AA22" i="1" s="1"/>
  <c r="D41" i="1"/>
  <c r="E41" i="1" s="1"/>
  <c r="J41" i="1" s="1"/>
  <c r="N31" i="1"/>
  <c r="M31" i="1"/>
  <c r="Y29" i="1"/>
  <c r="W29" i="1"/>
  <c r="Z27" i="1"/>
  <c r="I30" i="1"/>
  <c r="X30" i="1" s="1"/>
  <c r="AI11" i="1" s="1"/>
  <c r="K29" i="1"/>
  <c r="AA29" i="1" s="1"/>
  <c r="H29" i="1"/>
  <c r="F29" i="1"/>
  <c r="Y22" i="1"/>
  <c r="W22" i="1"/>
  <c r="W28" i="1"/>
  <c r="Y28" i="1"/>
  <c r="Z35" i="1"/>
  <c r="S29" i="1"/>
  <c r="O29" i="1"/>
  <c r="R29" i="1"/>
  <c r="M27" i="1"/>
  <c r="N27" i="1"/>
  <c r="M30" i="1"/>
  <c r="N30" i="1"/>
  <c r="K27" i="1"/>
  <c r="AA27" i="1" s="1"/>
  <c r="H27" i="1"/>
  <c r="F27" i="1"/>
  <c r="R27" i="1"/>
  <c r="O27" i="1"/>
  <c r="S27" i="1"/>
  <c r="AD8" i="1" s="1"/>
  <c r="Z30" i="1"/>
  <c r="K24" i="1"/>
  <c r="AA24" i="1" s="1"/>
  <c r="H24" i="1"/>
  <c r="F24" i="1"/>
  <c r="S30" i="1"/>
  <c r="R30" i="1"/>
  <c r="O30" i="1"/>
  <c r="K33" i="1"/>
  <c r="AA33" i="1" s="1"/>
  <c r="F33" i="1"/>
  <c r="H33" i="1"/>
  <c r="X6" i="1" l="1"/>
  <c r="AC8" i="1"/>
  <c r="X10" i="1"/>
  <c r="Y7" i="1"/>
  <c r="X15" i="1"/>
  <c r="Y15" i="1"/>
  <c r="Z15" i="1"/>
  <c r="AC15" i="1"/>
  <c r="Z8" i="1"/>
  <c r="Y6" i="1"/>
  <c r="X16" i="1"/>
  <c r="AC11" i="1"/>
  <c r="AI15" i="1"/>
  <c r="Z10" i="1"/>
  <c r="AH4" i="1"/>
  <c r="AD15" i="1"/>
  <c r="AC12" i="1"/>
  <c r="Y10" i="1"/>
  <c r="Z12" i="1"/>
  <c r="Y14" i="1"/>
  <c r="X14" i="1"/>
  <c r="AD7" i="1"/>
  <c r="AD16" i="1"/>
  <c r="Z5" i="1"/>
  <c r="Y5" i="1"/>
  <c r="Z13" i="1"/>
  <c r="AD11" i="1"/>
  <c r="AD10" i="1"/>
  <c r="X7" i="1"/>
  <c r="AC5" i="1"/>
  <c r="AC13" i="1"/>
  <c r="AJ4" i="1"/>
  <c r="X9" i="1"/>
  <c r="AJ9" i="1"/>
  <c r="AH9" i="1"/>
  <c r="Z4" i="1"/>
  <c r="AD12" i="1"/>
  <c r="AD4" i="1"/>
  <c r="AC7" i="1"/>
  <c r="AD6" i="1"/>
  <c r="Z14" i="1"/>
  <c r="AD14" i="1"/>
  <c r="Y13" i="1"/>
  <c r="X4" i="1"/>
  <c r="AJ6" i="1"/>
  <c r="Y9" i="1"/>
  <c r="Z6" i="1"/>
  <c r="Y16" i="1"/>
  <c r="Z7" i="1"/>
  <c r="Z16" i="1"/>
  <c r="AI13" i="1"/>
  <c r="Y11" i="1"/>
  <c r="AH5" i="1"/>
  <c r="X11" i="1"/>
  <c r="AH10" i="1"/>
  <c r="AJ5" i="1"/>
  <c r="AH6" i="1"/>
  <c r="Y8" i="1"/>
  <c r="AJ10" i="1"/>
  <c r="Z9" i="1"/>
  <c r="Z11" i="1"/>
  <c r="X8" i="1"/>
  <c r="X12" i="1"/>
  <c r="X13" i="1"/>
  <c r="Y4" i="1"/>
  <c r="AI9" i="1"/>
  <c r="Y12" i="1"/>
  <c r="AD5" i="1"/>
  <c r="X5" i="1"/>
  <c r="AD13" i="1"/>
  <c r="AD9" i="1"/>
  <c r="AC4" i="1"/>
  <c r="AC16" i="1"/>
  <c r="AC6" i="1"/>
  <c r="AC14" i="1"/>
  <c r="AC9" i="1"/>
  <c r="AC10" i="1"/>
  <c r="O42" i="1"/>
  <c r="N43" i="1"/>
  <c r="O40" i="1"/>
  <c r="N42" i="1"/>
  <c r="O39" i="1"/>
  <c r="N39" i="1"/>
  <c r="K41" i="1"/>
  <c r="AB24" i="1"/>
  <c r="AB35" i="1"/>
  <c r="AB30" i="1"/>
  <c r="AB32" i="1"/>
  <c r="AB36" i="1"/>
  <c r="AB23" i="1"/>
  <c r="AB21" i="1"/>
  <c r="AB26" i="1"/>
  <c r="U36" i="1"/>
  <c r="T36" i="1"/>
  <c r="V36" i="1"/>
  <c r="P22" i="1"/>
  <c r="Q22" i="1"/>
  <c r="P34" i="1"/>
  <c r="Q34" i="1"/>
  <c r="P26" i="1"/>
  <c r="Q26" i="1"/>
  <c r="Q36" i="1"/>
  <c r="P36" i="1"/>
  <c r="U34" i="1"/>
  <c r="T34" i="1"/>
  <c r="V34" i="1"/>
  <c r="V26" i="1"/>
  <c r="U26" i="1"/>
  <c r="T26" i="1"/>
  <c r="W32" i="1"/>
  <c r="AH13" i="1" s="1"/>
  <c r="Y32" i="1"/>
  <c r="AJ13" i="1" s="1"/>
  <c r="Q28" i="1"/>
  <c r="P28" i="1"/>
  <c r="F41" i="1"/>
  <c r="G41" i="1" s="1"/>
  <c r="G43" i="1" s="1"/>
  <c r="T28" i="1"/>
  <c r="V28" i="1"/>
  <c r="U28" i="1"/>
  <c r="AB29" i="1"/>
  <c r="AB25" i="1"/>
  <c r="U24" i="1"/>
  <c r="V24" i="1"/>
  <c r="T24" i="1"/>
  <c r="U32" i="1"/>
  <c r="V32" i="1"/>
  <c r="T32" i="1"/>
  <c r="Y26" i="1"/>
  <c r="AJ7" i="1" s="1"/>
  <c r="W26" i="1"/>
  <c r="AH7" i="1" s="1"/>
  <c r="Q32" i="1"/>
  <c r="P32" i="1"/>
  <c r="Q24" i="1"/>
  <c r="P24" i="1"/>
  <c r="Q29" i="1"/>
  <c r="P29" i="1"/>
  <c r="AB34" i="1"/>
  <c r="V29" i="1"/>
  <c r="T29" i="1"/>
  <c r="U29" i="1"/>
  <c r="W34" i="1"/>
  <c r="AH15" i="1" s="1"/>
  <c r="Y34" i="1"/>
  <c r="AJ15" i="1" s="1"/>
  <c r="T35" i="1"/>
  <c r="U35" i="1"/>
  <c r="V35" i="1"/>
  <c r="AB31" i="1"/>
  <c r="Q35" i="1"/>
  <c r="P35" i="1"/>
  <c r="AB28" i="1"/>
  <c r="P21" i="1"/>
  <c r="Q21" i="1"/>
  <c r="Q27" i="1"/>
  <c r="P27" i="1"/>
  <c r="T27" i="1"/>
  <c r="V27" i="1"/>
  <c r="U27" i="1"/>
  <c r="V25" i="1"/>
  <c r="U25" i="1"/>
  <c r="T25" i="1"/>
  <c r="AB27" i="1"/>
  <c r="W36" i="1"/>
  <c r="Y36" i="1"/>
  <c r="V30" i="1"/>
  <c r="T30" i="1"/>
  <c r="U30" i="1"/>
  <c r="F40" i="1"/>
  <c r="G40" i="1" s="1"/>
  <c r="H43" i="1" s="1"/>
  <c r="U31" i="1"/>
  <c r="T31" i="1"/>
  <c r="V31" i="1"/>
  <c r="P30" i="1"/>
  <c r="Q30" i="1"/>
  <c r="V22" i="1"/>
  <c r="T22" i="1"/>
  <c r="U22" i="1"/>
  <c r="AB33" i="1"/>
  <c r="Q31" i="1"/>
  <c r="P31" i="1"/>
  <c r="P25" i="1"/>
  <c r="Q25" i="1"/>
  <c r="W30" i="1"/>
  <c r="AH11" i="1" s="1"/>
  <c r="Y30" i="1"/>
  <c r="AJ11" i="1" s="1"/>
  <c r="T33" i="1"/>
  <c r="V33" i="1"/>
  <c r="U33" i="1"/>
  <c r="U21" i="1"/>
  <c r="V21" i="1"/>
  <c r="T21" i="1"/>
  <c r="Q33" i="1"/>
  <c r="P33" i="1"/>
  <c r="Q23" i="1"/>
  <c r="P23" i="1"/>
  <c r="AB22" i="1"/>
  <c r="T23" i="1"/>
  <c r="U23" i="1"/>
  <c r="V23" i="1"/>
  <c r="AG14" i="1" l="1"/>
  <c r="AG10" i="1"/>
  <c r="AE8" i="1"/>
  <c r="AA11" i="1"/>
  <c r="AG12" i="1"/>
  <c r="AB11" i="1"/>
  <c r="AF5" i="1"/>
  <c r="AF15" i="1"/>
  <c r="AA10" i="1"/>
  <c r="AB10" i="1"/>
  <c r="AJ14" i="1"/>
  <c r="AA8" i="1"/>
  <c r="AB7" i="1"/>
  <c r="AG6" i="1"/>
  <c r="AG7" i="1"/>
  <c r="AB8" i="1"/>
  <c r="AE10" i="1"/>
  <c r="AF14" i="1"/>
  <c r="AF9" i="1"/>
  <c r="AG8" i="1"/>
  <c r="AF12" i="1"/>
  <c r="AA7" i="1"/>
  <c r="AA5" i="1"/>
  <c r="AE9" i="1"/>
  <c r="AB15" i="1"/>
  <c r="AB5" i="1"/>
  <c r="AA13" i="1"/>
  <c r="AF11" i="1"/>
  <c r="AA15" i="1"/>
  <c r="AG4" i="1"/>
  <c r="AB13" i="1"/>
  <c r="AJ16" i="1"/>
  <c r="AE7" i="1"/>
  <c r="AH16" i="1"/>
  <c r="AF4" i="1"/>
  <c r="AG16" i="1"/>
  <c r="AG9" i="1"/>
  <c r="AE11" i="1"/>
  <c r="AB9" i="1"/>
  <c r="AJ12" i="1"/>
  <c r="AF16" i="1"/>
  <c r="AE16" i="1"/>
  <c r="AF7" i="1"/>
  <c r="AE12" i="1"/>
  <c r="AE14" i="1"/>
  <c r="AB6" i="1"/>
  <c r="AA6" i="1"/>
  <c r="AE4" i="1"/>
  <c r="AH12" i="1"/>
  <c r="AE13" i="1"/>
  <c r="AA4" i="1"/>
  <c r="AE6" i="1"/>
  <c r="AG13" i="1"/>
  <c r="AF6" i="1"/>
  <c r="AA16" i="1"/>
  <c r="AA9" i="1"/>
  <c r="AG11" i="1"/>
  <c r="AB16" i="1"/>
  <c r="AA12" i="1"/>
  <c r="AB12" i="1"/>
  <c r="AB4" i="1"/>
  <c r="AF13" i="1"/>
  <c r="AH14" i="1"/>
  <c r="AA14" i="1"/>
  <c r="AE5" i="1"/>
  <c r="AG15" i="1"/>
  <c r="AB14" i="1"/>
  <c r="AF8" i="1"/>
  <c r="AF10" i="1"/>
  <c r="AG5" i="1"/>
  <c r="AE15" i="1"/>
  <c r="AJ8" i="1"/>
  <c r="AH8" i="1"/>
  <c r="O43" i="1"/>
  <c r="P43" i="1" s="1"/>
  <c r="R43" i="1" s="1"/>
  <c r="P39" i="1"/>
  <c r="R39" i="1" s="1"/>
  <c r="N40" i="1"/>
  <c r="P40" i="1" s="1"/>
  <c r="R40" i="1" s="1"/>
  <c r="P42" i="1"/>
  <c r="R42" i="1" s="1"/>
  <c r="N41" i="1"/>
  <c r="P41" i="1" s="1"/>
  <c r="R41" i="1" s="1"/>
  <c r="H42" i="1"/>
  <c r="I42" i="1" s="1"/>
  <c r="J67" i="1" s="1"/>
  <c r="H41" i="1"/>
  <c r="I41" i="1" s="1"/>
  <c r="J66" i="1" s="1"/>
  <c r="W77" i="1" l="1"/>
  <c r="W78" i="1"/>
  <c r="W82" i="1"/>
  <c r="W70" i="1"/>
  <c r="W79" i="1"/>
  <c r="W85" i="1"/>
  <c r="W80" i="1"/>
  <c r="W86" i="1"/>
  <c r="W74" i="1"/>
  <c r="W81" i="1"/>
  <c r="W83" i="1"/>
  <c r="W75" i="1"/>
  <c r="W84" i="1"/>
  <c r="W71" i="1"/>
  <c r="W72" i="1"/>
  <c r="W73" i="1"/>
  <c r="W76" i="1"/>
  <c r="D77" i="1"/>
  <c r="D78" i="1"/>
  <c r="D82" i="1"/>
  <c r="D74" i="1"/>
  <c r="D79" i="1"/>
  <c r="D81" i="1"/>
  <c r="D84" i="1"/>
  <c r="D86" i="1"/>
  <c r="D71" i="1"/>
  <c r="D80" i="1"/>
  <c r="D83" i="1"/>
  <c r="D70" i="1"/>
  <c r="D85" i="1"/>
  <c r="D73" i="1"/>
  <c r="D72" i="1"/>
  <c r="D75" i="1"/>
  <c r="D76" i="1"/>
  <c r="K42" i="1"/>
  <c r="H68" i="1" l="1" a="1"/>
  <c r="H68" i="1" s="1"/>
  <c r="H72" i="1" s="1" a="1"/>
  <c r="H72" i="1" s="1"/>
  <c r="G3" i="1" s="1"/>
  <c r="C3" i="10" l="1"/>
  <c r="P75" i="1" a="1"/>
  <c r="P75" i="1" s="1"/>
  <c r="O6" i="1" s="1"/>
  <c r="K6" i="10" s="1"/>
  <c r="L77" i="1" a="1"/>
  <c r="L77" i="1" s="1"/>
  <c r="K8" i="1" s="1"/>
  <c r="G8" i="10" s="1"/>
  <c r="P74" i="1" a="1"/>
  <c r="P74" i="1" s="1"/>
  <c r="O5" i="1" s="1"/>
  <c r="K5" i="10" s="1"/>
  <c r="O73" i="1" a="1"/>
  <c r="O73" i="1" s="1"/>
  <c r="N4" i="1" s="1"/>
  <c r="J4" i="10" s="1"/>
  <c r="J73" i="1" a="1"/>
  <c r="J73" i="1" s="1"/>
  <c r="I4" i="1" s="1"/>
  <c r="E4" i="10" s="1"/>
  <c r="Q74" i="1" a="1"/>
  <c r="Q74" i="1" s="1"/>
  <c r="P5" i="1" s="1"/>
  <c r="L5" i="10" s="1"/>
  <c r="R76" i="1" a="1"/>
  <c r="R76" i="1" s="1"/>
  <c r="Q7" i="1" s="1"/>
  <c r="M7" i="10" s="1"/>
  <c r="I73" i="1" a="1"/>
  <c r="I73" i="1" s="1"/>
  <c r="H4" i="1" s="1"/>
  <c r="D4" i="10" s="1"/>
  <c r="I76" i="1" a="1"/>
  <c r="I76" i="1" s="1"/>
  <c r="H7" i="1" s="1"/>
  <c r="D7" i="10" s="1"/>
  <c r="K84" i="1" a="1"/>
  <c r="K84" i="1" s="1"/>
  <c r="J15" i="1" s="1"/>
  <c r="F15" i="10" s="1"/>
  <c r="O75" i="1" a="1"/>
  <c r="O75" i="1" s="1"/>
  <c r="N6" i="1" s="1"/>
  <c r="J6" i="10" s="1"/>
  <c r="T83" i="1" a="1"/>
  <c r="T83" i="1" s="1"/>
  <c r="S14" i="1" s="1"/>
  <c r="O14" i="10" s="1"/>
  <c r="Q81" i="1" a="1"/>
  <c r="Q81" i="1" s="1"/>
  <c r="P12" i="1" s="1"/>
  <c r="L12" i="10" s="1"/>
  <c r="H82" i="1" a="1"/>
  <c r="H82" i="1" s="1"/>
  <c r="G13" i="1" s="1"/>
  <c r="C13" i="10" s="1"/>
  <c r="H76" i="1" a="1"/>
  <c r="H76" i="1" s="1"/>
  <c r="G7" i="1" s="1"/>
  <c r="C7" i="10" s="1"/>
  <c r="R74" i="1" a="1"/>
  <c r="R74" i="1" s="1"/>
  <c r="Q5" i="1" s="1"/>
  <c r="M5" i="10" s="1"/>
  <c r="Q84" i="1" a="1"/>
  <c r="Q84" i="1" s="1"/>
  <c r="P15" i="1" s="1"/>
  <c r="L15" i="10" s="1"/>
  <c r="J75" i="1" a="1"/>
  <c r="J75" i="1" s="1"/>
  <c r="I6" i="1" s="1"/>
  <c r="E6" i="10" s="1"/>
  <c r="R77" i="1" a="1"/>
  <c r="R77" i="1" s="1"/>
  <c r="Q8" i="1" s="1"/>
  <c r="M8" i="10" s="1"/>
  <c r="I74" i="1" a="1"/>
  <c r="I74" i="1" s="1"/>
  <c r="H5" i="1" s="1"/>
  <c r="D5" i="10" s="1"/>
  <c r="N84" i="1" a="1"/>
  <c r="N84" i="1" s="1"/>
  <c r="M15" i="1" s="1"/>
  <c r="I15" i="10" s="1"/>
  <c r="S76" i="1" a="1"/>
  <c r="S76" i="1" s="1"/>
  <c r="R7" i="1" s="1"/>
  <c r="N7" i="10" s="1"/>
  <c r="O77" i="1" a="1"/>
  <c r="O77" i="1" s="1"/>
  <c r="N8" i="1" s="1"/>
  <c r="J8" i="10" s="1"/>
  <c r="M74" i="1" a="1"/>
  <c r="M74" i="1" s="1"/>
  <c r="L5" i="1" s="1"/>
  <c r="H5" i="10" s="1"/>
  <c r="O84" i="1" a="1"/>
  <c r="O84" i="1" s="1"/>
  <c r="N15" i="1" s="1"/>
  <c r="J15" i="10" s="1"/>
  <c r="I77" i="1" a="1"/>
  <c r="I77" i="1" s="1"/>
  <c r="H8" i="1" s="1"/>
  <c r="D8" i="10" s="1"/>
  <c r="T76" i="1" a="1"/>
  <c r="T76" i="1" s="1"/>
  <c r="S7" i="1" s="1"/>
  <c r="O7" i="10" s="1"/>
  <c r="Q77" i="1" a="1"/>
  <c r="Q77" i="1" s="1"/>
  <c r="P8" i="1" s="1"/>
  <c r="L8" i="10" s="1"/>
  <c r="Q75" i="1" a="1"/>
  <c r="Q75" i="1" s="1"/>
  <c r="P6" i="1" s="1"/>
  <c r="L6" i="10" s="1"/>
  <c r="P77" i="1" a="1"/>
  <c r="P77" i="1" s="1"/>
  <c r="O8" i="1" s="1"/>
  <c r="K8" i="10" s="1"/>
  <c r="N76" i="1" a="1"/>
  <c r="N76" i="1" s="1"/>
  <c r="M7" i="1" s="1"/>
  <c r="I7" i="10" s="1"/>
  <c r="I83" i="1" a="1"/>
  <c r="I83" i="1" s="1"/>
  <c r="H14" i="1" s="1"/>
  <c r="D14" i="10" s="1"/>
  <c r="R82" i="1" a="1"/>
  <c r="R82" i="1" s="1"/>
  <c r="Q13" i="1" s="1"/>
  <c r="M13" i="10" s="1"/>
  <c r="N81" i="1" a="1"/>
  <c r="N81" i="1" s="1"/>
  <c r="M12" i="1" s="1"/>
  <c r="I12" i="10" s="1"/>
  <c r="N82" i="1" a="1"/>
  <c r="N82" i="1" s="1"/>
  <c r="M13" i="1" s="1"/>
  <c r="I13" i="10" s="1"/>
  <c r="I75" i="1" a="1"/>
  <c r="I75" i="1" s="1"/>
  <c r="H6" i="1" s="1"/>
  <c r="D6" i="10" s="1"/>
  <c r="K76" i="1" a="1"/>
  <c r="K76" i="1" s="1"/>
  <c r="J7" i="1" s="1"/>
  <c r="F7" i="10" s="1"/>
  <c r="S83" i="1" a="1"/>
  <c r="S83" i="1" s="1"/>
  <c r="R14" i="1" s="1"/>
  <c r="N14" i="10" s="1"/>
  <c r="R78" i="1" a="1"/>
  <c r="R78" i="1" s="1"/>
  <c r="Q9" i="1" s="1"/>
  <c r="M9" i="10" s="1"/>
  <c r="Q82" i="1" a="1"/>
  <c r="Q82" i="1" s="1"/>
  <c r="P13" i="1" s="1"/>
  <c r="L13" i="10" s="1"/>
  <c r="N75" i="1" a="1"/>
  <c r="N75" i="1" s="1"/>
  <c r="M6" i="1" s="1"/>
  <c r="I6" i="10" s="1"/>
  <c r="P76" i="1" a="1"/>
  <c r="P76" i="1" s="1"/>
  <c r="O7" i="1" s="1"/>
  <c r="K7" i="10" s="1"/>
  <c r="R83" i="1" a="1"/>
  <c r="R83" i="1" s="1"/>
  <c r="Q14" i="1" s="1"/>
  <c r="M14" i="10" s="1"/>
  <c r="O78" i="1" a="1"/>
  <c r="O78" i="1" s="1"/>
  <c r="N9" i="1" s="1"/>
  <c r="J9" i="10" s="1"/>
  <c r="M75" i="1" a="1"/>
  <c r="M75" i="1" s="1"/>
  <c r="L6" i="1" s="1"/>
  <c r="H6" i="10" s="1"/>
  <c r="J81" i="1" a="1"/>
  <c r="J81" i="1" s="1"/>
  <c r="I12" i="1" s="1"/>
  <c r="E12" i="10" s="1"/>
  <c r="Q83" i="1" a="1"/>
  <c r="Q83" i="1" s="1"/>
  <c r="P14" i="1" s="1"/>
  <c r="L14" i="10" s="1"/>
  <c r="K79" i="1" a="1"/>
  <c r="K79" i="1" s="1"/>
  <c r="J10" i="1" s="1"/>
  <c r="F10" i="10" s="1"/>
  <c r="J74" i="1" a="1"/>
  <c r="J74" i="1" s="1"/>
  <c r="I5" i="1" s="1"/>
  <c r="E5" i="10" s="1"/>
  <c r="S81" i="1" a="1"/>
  <c r="S81" i="1" s="1"/>
  <c r="R12" i="1" s="1"/>
  <c r="N12" i="10" s="1"/>
  <c r="O83" i="1" a="1"/>
  <c r="O83" i="1" s="1"/>
  <c r="N14" i="1" s="1"/>
  <c r="J14" i="10" s="1"/>
  <c r="T78" i="1" a="1"/>
  <c r="T78" i="1" s="1"/>
  <c r="S9" i="1" s="1"/>
  <c r="O9" i="10" s="1"/>
  <c r="K75" i="1" a="1"/>
  <c r="K75" i="1" s="1"/>
  <c r="J6" i="1" s="1"/>
  <c r="F6" i="10" s="1"/>
  <c r="S84" i="1" a="1"/>
  <c r="S84" i="1" s="1"/>
  <c r="R15" i="1" s="1"/>
  <c r="N15" i="10" s="1"/>
  <c r="J83" i="1" a="1"/>
  <c r="J83" i="1" s="1"/>
  <c r="I14" i="1" s="1"/>
  <c r="E14" i="10" s="1"/>
  <c r="K78" i="1" a="1"/>
  <c r="K78" i="1" s="1"/>
  <c r="J9" i="1" s="1"/>
  <c r="F9" i="10" s="1"/>
  <c r="J79" i="1" a="1"/>
  <c r="J79" i="1" s="1"/>
  <c r="I10" i="1" s="1"/>
  <c r="E10" i="10" s="1"/>
  <c r="N73" i="1" a="1"/>
  <c r="N73" i="1" s="1"/>
  <c r="M4" i="1" s="1"/>
  <c r="I4" i="10" s="1"/>
  <c r="I84" i="1" a="1"/>
  <c r="I84" i="1" s="1"/>
  <c r="H15" i="1" s="1"/>
  <c r="D15" i="10" s="1"/>
  <c r="J76" i="1" a="1"/>
  <c r="J76" i="1" s="1"/>
  <c r="I7" i="1" s="1"/>
  <c r="E7" i="10" s="1"/>
  <c r="H77" i="1" a="1"/>
  <c r="H77" i="1" s="1"/>
  <c r="G8" i="1" s="1"/>
  <c r="C8" i="10" s="1"/>
  <c r="R84" i="1" a="1"/>
  <c r="R84" i="1" s="1"/>
  <c r="Q15" i="1" s="1"/>
  <c r="M15" i="10" s="1"/>
  <c r="R73" i="1" a="1"/>
  <c r="R73" i="1" s="1"/>
  <c r="Q4" i="1" s="1"/>
  <c r="M4" i="10" s="1"/>
  <c r="S77" i="1" a="1"/>
  <c r="S77" i="1" s="1"/>
  <c r="R8" i="1" s="1"/>
  <c r="N8" i="10" s="1"/>
  <c r="I81" i="1" a="1"/>
  <c r="I81" i="1" s="1"/>
  <c r="H12" i="1" s="1"/>
  <c r="D12" i="10" s="1"/>
  <c r="S82" i="1" a="1"/>
  <c r="S82" i="1" s="1"/>
  <c r="R13" i="1" s="1"/>
  <c r="N13" i="10" s="1"/>
  <c r="R81" i="1" a="1"/>
  <c r="R81" i="1" s="1"/>
  <c r="Q12" i="1" s="1"/>
  <c r="M12" i="10" s="1"/>
  <c r="I82" i="1" a="1"/>
  <c r="I82" i="1" s="1"/>
  <c r="H13" i="1" s="1"/>
  <c r="D13" i="10" s="1"/>
  <c r="Q76" i="1" a="1"/>
  <c r="Q76" i="1" s="1"/>
  <c r="P7" i="1" s="1"/>
  <c r="L7" i="10" s="1"/>
  <c r="K83" i="1" a="1"/>
  <c r="K83" i="1" s="1"/>
  <c r="J14" i="1" s="1"/>
  <c r="F14" i="10" s="1"/>
  <c r="H75" i="1" a="1"/>
  <c r="H75" i="1" s="1"/>
  <c r="G6" i="1" s="1"/>
  <c r="C6" i="10" s="1"/>
  <c r="O81" i="1" a="1"/>
  <c r="O81" i="1" s="1"/>
  <c r="N12" i="1" s="1"/>
  <c r="J12" i="10" s="1"/>
  <c r="N77" i="1" a="1"/>
  <c r="N77" i="1" s="1"/>
  <c r="M8" i="1" s="1"/>
  <c r="I8" i="10" s="1"/>
  <c r="L75" i="1" a="1"/>
  <c r="L75" i="1" s="1"/>
  <c r="K6" i="1" s="1"/>
  <c r="G6" i="10" s="1"/>
  <c r="H83" i="1" a="1"/>
  <c r="H83" i="1" s="1"/>
  <c r="G14" i="1" s="1"/>
  <c r="C14" i="10" s="1"/>
  <c r="M77" i="1" a="1"/>
  <c r="M77" i="1" s="1"/>
  <c r="L8" i="1" s="1"/>
  <c r="H8" i="10" s="1"/>
  <c r="P81" i="1" a="1"/>
  <c r="P81" i="1" s="1"/>
  <c r="O12" i="1" s="1"/>
  <c r="K12" i="10" s="1"/>
  <c r="H81" i="1" a="1"/>
  <c r="H81" i="1" s="1"/>
  <c r="G12" i="1" s="1"/>
  <c r="C12" i="10" s="1"/>
  <c r="L82" i="1" a="1"/>
  <c r="L82" i="1" s="1"/>
  <c r="K13" i="1" s="1"/>
  <c r="G13" i="10" s="1"/>
  <c r="L74" i="1" a="1"/>
  <c r="L74" i="1" s="1"/>
  <c r="K5" i="1" s="1"/>
  <c r="G5" i="10" s="1"/>
  <c r="N78" i="1" a="1"/>
  <c r="N78" i="1" s="1"/>
  <c r="M9" i="1" s="1"/>
  <c r="I9" i="10" s="1"/>
  <c r="T75" i="1" a="1"/>
  <c r="T75" i="1" s="1"/>
  <c r="S6" i="1" s="1"/>
  <c r="O6" i="10" s="1"/>
  <c r="I79" i="1" a="1"/>
  <c r="I79" i="1" s="1"/>
  <c r="H10" i="1" s="1"/>
  <c r="D10" i="10" s="1"/>
  <c r="T74" i="1" a="1"/>
  <c r="T74" i="1" s="1"/>
  <c r="S5" i="1" s="1"/>
  <c r="O5" i="10" s="1"/>
  <c r="R75" i="1" a="1"/>
  <c r="R75" i="1" s="1"/>
  <c r="Q6" i="1" s="1"/>
  <c r="M6" i="10" s="1"/>
  <c r="S74" i="1" a="1"/>
  <c r="S74" i="1" s="1"/>
  <c r="R5" i="1" s="1"/>
  <c r="N5" i="10" s="1"/>
  <c r="J84" i="1" a="1"/>
  <c r="J84" i="1" s="1"/>
  <c r="I15" i="1" s="1"/>
  <c r="E15" i="10" s="1"/>
  <c r="P83" i="1" a="1"/>
  <c r="P83" i="1" s="1"/>
  <c r="O14" i="1" s="1"/>
  <c r="K14" i="10" s="1"/>
  <c r="M73" i="1" a="1"/>
  <c r="M73" i="1" s="1"/>
  <c r="L4" i="1" s="1"/>
  <c r="H4" i="10" s="1"/>
  <c r="Q79" i="1" a="1"/>
  <c r="Q79" i="1" s="1"/>
  <c r="P10" i="1" s="1"/>
  <c r="L10" i="10" s="1"/>
  <c r="H73" i="1" a="1"/>
  <c r="H73" i="1" s="1"/>
  <c r="G4" i="1" s="1"/>
  <c r="C4" i="10" s="1"/>
  <c r="N83" i="1" a="1"/>
  <c r="N83" i="1" s="1"/>
  <c r="M14" i="1" s="1"/>
  <c r="I14" i="10" s="1"/>
  <c r="Q78" i="1" a="1"/>
  <c r="Q78" i="1" s="1"/>
  <c r="P9" i="1" s="1"/>
  <c r="L9" i="10" s="1"/>
  <c r="Q73" i="1" a="1"/>
  <c r="Q73" i="1" s="1"/>
  <c r="P4" i="1" s="1"/>
  <c r="L4" i="10" s="1"/>
  <c r="L79" i="1" a="1"/>
  <c r="L79" i="1" s="1"/>
  <c r="K10" i="1" s="1"/>
  <c r="G10" i="10" s="1"/>
  <c r="H84" i="1" a="1"/>
  <c r="H84" i="1" s="1"/>
  <c r="G15" i="1" s="1"/>
  <c r="C15" i="10" s="1"/>
  <c r="H74" i="1" a="1"/>
  <c r="H74" i="1" s="1"/>
  <c r="G5" i="1" s="1"/>
  <c r="C5" i="10" s="1"/>
  <c r="M84" i="1" a="1"/>
  <c r="M84" i="1" s="1"/>
  <c r="L15" i="1" s="1"/>
  <c r="H15" i="10" s="1"/>
  <c r="M83" i="1" a="1"/>
  <c r="M83" i="1" s="1"/>
  <c r="L14" i="1" s="1"/>
  <c r="H14" i="10" s="1"/>
  <c r="H78" i="1" a="1"/>
  <c r="H78" i="1" s="1"/>
  <c r="G9" i="1" s="1"/>
  <c r="C9" i="10" s="1"/>
  <c r="T73" i="1" a="1"/>
  <c r="T73" i="1" s="1"/>
  <c r="S4" i="1" s="1"/>
  <c r="O4" i="10" s="1"/>
  <c r="H79" i="1" a="1"/>
  <c r="H79" i="1" s="1"/>
  <c r="G10" i="1" s="1"/>
  <c r="C10" i="10" s="1"/>
  <c r="L81" i="1" a="1"/>
  <c r="L81" i="1" s="1"/>
  <c r="K12" i="1" s="1"/>
  <c r="G12" i="10" s="1"/>
  <c r="O76" i="1" a="1"/>
  <c r="O76" i="1" s="1"/>
  <c r="N7" i="1" s="1"/>
  <c r="J7" i="10" s="1"/>
  <c r="O74" i="1" a="1"/>
  <c r="O74" i="1" s="1"/>
  <c r="N5" i="1" s="1"/>
  <c r="J5" i="10" s="1"/>
  <c r="M81" i="1" a="1"/>
  <c r="M81" i="1" s="1"/>
  <c r="L12" i="1" s="1"/>
  <c r="H12" i="10" s="1"/>
  <c r="L84" i="1" a="1"/>
  <c r="L84" i="1" s="1"/>
  <c r="K15" i="1" s="1"/>
  <c r="G15" i="10" s="1"/>
  <c r="K77" i="1" a="1"/>
  <c r="K77" i="1" s="1"/>
  <c r="J8" i="1" s="1"/>
  <c r="F8" i="10" s="1"/>
  <c r="P78" i="1" a="1"/>
  <c r="P78" i="1" s="1"/>
  <c r="O9" i="1" s="1"/>
  <c r="K9" i="10" s="1"/>
  <c r="S73" i="1" a="1"/>
  <c r="S73" i="1" s="1"/>
  <c r="R4" i="1" s="1"/>
  <c r="N4" i="10" s="1"/>
  <c r="T79" i="1" a="1"/>
  <c r="T79" i="1" s="1"/>
  <c r="S10" i="1" s="1"/>
  <c r="O10" i="10" s="1"/>
  <c r="K74" i="1" a="1"/>
  <c r="K74" i="1" s="1"/>
  <c r="J5" i="1" s="1"/>
  <c r="F5" i="10" s="1"/>
  <c r="T81" i="1" a="1"/>
  <c r="T81" i="1" s="1"/>
  <c r="S12" i="1" s="1"/>
  <c r="O12" i="10" s="1"/>
  <c r="P84" i="1" a="1"/>
  <c r="P84" i="1" s="1"/>
  <c r="O15" i="1" s="1"/>
  <c r="K15" i="10" s="1"/>
  <c r="T77" i="1" a="1"/>
  <c r="T77" i="1" s="1"/>
  <c r="S8" i="1" s="1"/>
  <c r="O8" i="10" s="1"/>
  <c r="M78" i="1" a="1"/>
  <c r="M78" i="1" s="1"/>
  <c r="L9" i="1" s="1"/>
  <c r="H9" i="10" s="1"/>
  <c r="P73" i="1" a="1"/>
  <c r="P73" i="1" s="1"/>
  <c r="O4" i="1" s="1"/>
  <c r="K4" i="10" s="1"/>
  <c r="P79" i="1" a="1"/>
  <c r="P79" i="1" s="1"/>
  <c r="O10" i="1" s="1"/>
  <c r="K10" i="10" s="1"/>
  <c r="S75" i="1" a="1"/>
  <c r="S75" i="1" s="1"/>
  <c r="R6" i="1" s="1"/>
  <c r="N6" i="10" s="1"/>
  <c r="M76" i="1" a="1"/>
  <c r="M76" i="1" s="1"/>
  <c r="L7" i="1" s="1"/>
  <c r="H7" i="10" s="1"/>
  <c r="L76" i="1" a="1"/>
  <c r="L76" i="1" s="1"/>
  <c r="K7" i="1" s="1"/>
  <c r="G7" i="10" s="1"/>
  <c r="N74" i="1" a="1"/>
  <c r="N74" i="1" s="1"/>
  <c r="M5" i="1" s="1"/>
  <c r="I5" i="10" s="1"/>
  <c r="K81" i="1" a="1"/>
  <c r="K81" i="1" s="1"/>
  <c r="J12" i="1" s="1"/>
  <c r="F12" i="10" s="1"/>
  <c r="T84" i="1" a="1"/>
  <c r="T84" i="1" s="1"/>
  <c r="S15" i="1" s="1"/>
  <c r="O15" i="10" s="1"/>
  <c r="J77" i="1" a="1"/>
  <c r="J77" i="1" s="1"/>
  <c r="I8" i="1" s="1"/>
  <c r="E8" i="10" s="1"/>
  <c r="L78" i="1" a="1"/>
  <c r="L78" i="1" s="1"/>
  <c r="K9" i="1" s="1"/>
  <c r="G9" i="10" s="1"/>
  <c r="M82" i="1" a="1"/>
  <c r="M82" i="1" s="1"/>
  <c r="L13" i="1" s="1"/>
  <c r="H13" i="10" s="1"/>
  <c r="H80" i="1" a="1"/>
  <c r="H80" i="1" s="1"/>
  <c r="G11" i="1" s="1"/>
  <c r="C11" i="10" s="1"/>
  <c r="S78" i="1" a="1"/>
  <c r="S78" i="1" s="1"/>
  <c r="R9" i="1" s="1"/>
  <c r="N9" i="10" s="1"/>
  <c r="K82" i="1" a="1"/>
  <c r="K82" i="1" s="1"/>
  <c r="J13" i="1" s="1"/>
  <c r="F13" i="10" s="1"/>
  <c r="K80" i="1" a="1"/>
  <c r="K80" i="1" s="1"/>
  <c r="J11" i="1" s="1"/>
  <c r="F11" i="10" s="1"/>
  <c r="J78" i="1" a="1"/>
  <c r="J78" i="1" s="1"/>
  <c r="I9" i="1" s="1"/>
  <c r="E9" i="10" s="1"/>
  <c r="J82" i="1" a="1"/>
  <c r="J82" i="1" s="1"/>
  <c r="I13" i="1" s="1"/>
  <c r="E13" i="10" s="1"/>
  <c r="I80" i="1" a="1"/>
  <c r="I80" i="1" s="1"/>
  <c r="H11" i="1" s="1"/>
  <c r="D11" i="10" s="1"/>
  <c r="O80" i="1" a="1"/>
  <c r="O80" i="1" s="1"/>
  <c r="N11" i="1" s="1"/>
  <c r="J11" i="10" s="1"/>
  <c r="L83" i="1" a="1"/>
  <c r="L83" i="1" s="1"/>
  <c r="K14" i="1" s="1"/>
  <c r="G14" i="10" s="1"/>
  <c r="I78" i="1" a="1"/>
  <c r="I78" i="1" s="1"/>
  <c r="H9" i="1" s="1"/>
  <c r="D9" i="10" s="1"/>
  <c r="K73" i="1" a="1"/>
  <c r="K73" i="1" s="1"/>
  <c r="J4" i="1" s="1"/>
  <c r="F4" i="10" s="1"/>
  <c r="O82" i="1" a="1"/>
  <c r="O82" i="1" s="1"/>
  <c r="N13" i="1" s="1"/>
  <c r="J13" i="10" s="1"/>
  <c r="J80" i="1" a="1"/>
  <c r="J80" i="1" s="1"/>
  <c r="I11" i="1" s="1"/>
  <c r="E11" i="10" s="1"/>
  <c r="L73" i="1" a="1"/>
  <c r="L73" i="1" s="1"/>
  <c r="K4" i="1" s="1"/>
  <c r="G4" i="10" s="1"/>
  <c r="T82" i="1" a="1"/>
  <c r="T82" i="1" s="1"/>
  <c r="S13" i="1" s="1"/>
  <c r="O13" i="10" s="1"/>
  <c r="R80" i="1" a="1"/>
  <c r="R80" i="1" s="1"/>
  <c r="Q11" i="1" s="1"/>
  <c r="M11" i="10" s="1"/>
  <c r="P82" i="1" a="1"/>
  <c r="P82" i="1" s="1"/>
  <c r="O13" i="1" s="1"/>
  <c r="K13" i="10" s="1"/>
  <c r="N80" i="1" a="1"/>
  <c r="N80" i="1" s="1"/>
  <c r="M11" i="1" s="1"/>
  <c r="I11" i="10" s="1"/>
  <c r="M79" i="1" a="1"/>
  <c r="M79" i="1" s="1"/>
  <c r="L10" i="1" s="1"/>
  <c r="H10" i="10" s="1"/>
  <c r="Q80" i="1" a="1"/>
  <c r="Q80" i="1" s="1"/>
  <c r="P11" i="1" s="1"/>
  <c r="L11" i="10" s="1"/>
  <c r="L80" i="1" a="1"/>
  <c r="L80" i="1" s="1"/>
  <c r="K11" i="1" s="1"/>
  <c r="G11" i="10" s="1"/>
  <c r="N79" i="1" a="1"/>
  <c r="N79" i="1" s="1"/>
  <c r="M10" i="1" s="1"/>
  <c r="I10" i="10" s="1"/>
  <c r="M80" i="1" a="1"/>
  <c r="M80" i="1" s="1"/>
  <c r="L11" i="1" s="1"/>
  <c r="H11" i="10" s="1"/>
  <c r="S79" i="1" a="1"/>
  <c r="S79" i="1" s="1"/>
  <c r="R10" i="1" s="1"/>
  <c r="N10" i="10" s="1"/>
  <c r="P72" i="1" a="1"/>
  <c r="P72" i="1" s="1"/>
  <c r="O3" i="1" s="1"/>
  <c r="K3" i="10" s="1"/>
  <c r="R79" i="1" a="1"/>
  <c r="R79" i="1" s="1"/>
  <c r="Q10" i="1" s="1"/>
  <c r="M10" i="10" s="1"/>
  <c r="T80" i="1" a="1"/>
  <c r="T80" i="1" s="1"/>
  <c r="S11" i="1" s="1"/>
  <c r="O11" i="10" s="1"/>
  <c r="O79" i="1" a="1"/>
  <c r="O79" i="1" s="1"/>
  <c r="N10" i="1" s="1"/>
  <c r="J10" i="10" s="1"/>
  <c r="O72" i="1" a="1"/>
  <c r="O72" i="1" s="1"/>
  <c r="N3" i="1" s="1"/>
  <c r="L72" i="1" a="1"/>
  <c r="L72" i="1" s="1"/>
  <c r="K3" i="1" s="1"/>
  <c r="G3" i="10" s="1"/>
  <c r="Q72" i="1" a="1"/>
  <c r="Q72" i="1" s="1"/>
  <c r="P3" i="1" s="1"/>
  <c r="L3" i="10" s="1"/>
  <c r="N72" i="1" a="1"/>
  <c r="N72" i="1" s="1"/>
  <c r="M3" i="1" s="1"/>
  <c r="I3" i="10" s="1"/>
  <c r="S80" i="1" a="1"/>
  <c r="S80" i="1" s="1"/>
  <c r="R11" i="1" s="1"/>
  <c r="N11" i="10" s="1"/>
  <c r="M72" i="1" a="1"/>
  <c r="M72" i="1" s="1"/>
  <c r="L3" i="1" s="1"/>
  <c r="H3" i="10" s="1"/>
  <c r="P80" i="1" a="1"/>
  <c r="P80" i="1" s="1"/>
  <c r="O11" i="1" s="1"/>
  <c r="K11" i="10" s="1"/>
  <c r="K72" i="1" a="1"/>
  <c r="K72" i="1" s="1"/>
  <c r="J3" i="1" s="1"/>
  <c r="F3" i="10" s="1"/>
  <c r="T72" i="1" a="1"/>
  <c r="T72" i="1" s="1"/>
  <c r="S3" i="1" s="1"/>
  <c r="O3" i="10" s="1"/>
  <c r="J72" i="1" a="1"/>
  <c r="J72" i="1" s="1"/>
  <c r="I3" i="1" s="1"/>
  <c r="E3" i="10" s="1"/>
  <c r="S72" i="1" a="1"/>
  <c r="S72" i="1" s="1"/>
  <c r="R3" i="1" s="1"/>
  <c r="N3" i="10" s="1"/>
  <c r="R72" i="1" a="1"/>
  <c r="R72" i="1" s="1"/>
  <c r="Q3" i="1" s="1"/>
  <c r="M3" i="10" s="1"/>
  <c r="I72" i="1" a="1"/>
  <c r="I72" i="1" s="1"/>
  <c r="H3" i="1" s="1"/>
  <c r="D3" i="10" s="1"/>
  <c r="J3" i="10" l="1"/>
  <c r="G3" i="12" a="1"/>
  <c r="B7" i="10"/>
  <c r="P9" i="10"/>
  <c r="G16" i="10"/>
  <c r="P4" i="10"/>
  <c r="K16" i="10"/>
  <c r="I16" i="10"/>
  <c r="D16" i="10"/>
  <c r="E16" i="10"/>
  <c r="L16" i="10"/>
  <c r="P7" i="10"/>
  <c r="H16" i="10"/>
  <c r="P6" i="10"/>
  <c r="F16" i="10"/>
  <c r="P12" i="10"/>
  <c r="P11" i="10"/>
  <c r="J16" i="10"/>
  <c r="N16" i="10"/>
  <c r="P8" i="10"/>
  <c r="M16" i="10"/>
  <c r="P14" i="10"/>
  <c r="P10" i="10"/>
  <c r="P13" i="10"/>
  <c r="P5" i="10"/>
  <c r="H3" i="12" l="1"/>
  <c r="G13" i="12"/>
  <c r="N5" i="12"/>
  <c r="P6" i="12"/>
  <c r="J14" i="12"/>
  <c r="G9" i="12"/>
  <c r="I8" i="12"/>
  <c r="G6" i="12"/>
  <c r="J12" i="12"/>
  <c r="J6" i="12"/>
  <c r="P13" i="12"/>
  <c r="S8" i="12"/>
  <c r="O5" i="12"/>
  <c r="L10" i="12"/>
  <c r="I3" i="12"/>
  <c r="K9" i="12"/>
  <c r="N6" i="12"/>
  <c r="P5" i="12"/>
  <c r="J7" i="12"/>
  <c r="M13" i="12"/>
  <c r="M7" i="12"/>
  <c r="S14" i="12"/>
  <c r="I10" i="12"/>
  <c r="M10" i="12"/>
  <c r="J15" i="12"/>
  <c r="N10" i="12"/>
  <c r="K4" i="12"/>
  <c r="K3" i="12"/>
  <c r="G3" i="12"/>
  <c r="M8" i="12"/>
  <c r="P14" i="12"/>
  <c r="P8" i="12"/>
  <c r="S3" i="12"/>
  <c r="L11" i="12"/>
  <c r="K15" i="12"/>
  <c r="R7" i="12"/>
  <c r="L15" i="12"/>
  <c r="I14" i="12"/>
  <c r="P15" i="12"/>
  <c r="M3" i="12"/>
  <c r="P9" i="12"/>
  <c r="S15" i="12"/>
  <c r="S9" i="12"/>
  <c r="I5" i="12"/>
  <c r="O12" i="12"/>
  <c r="S7" i="12"/>
  <c r="J10" i="12"/>
  <c r="G8" i="12"/>
  <c r="J9" i="12"/>
  <c r="J13" i="12"/>
  <c r="P4" i="12"/>
  <c r="S10" i="12"/>
  <c r="P3" i="12"/>
  <c r="I11" i="12"/>
  <c r="L6" i="12"/>
  <c r="R13" i="12"/>
  <c r="Q12" i="12"/>
  <c r="M14" i="12"/>
  <c r="R12" i="12"/>
  <c r="J4" i="12"/>
  <c r="Q10" i="12"/>
  <c r="S5" i="12"/>
  <c r="I12" i="12"/>
  <c r="S4" i="12"/>
  <c r="L12" i="12"/>
  <c r="O7" i="12"/>
  <c r="H15" i="12"/>
  <c r="L5" i="12"/>
  <c r="H7" i="12"/>
  <c r="M5" i="12"/>
  <c r="H14" i="12"/>
  <c r="K8" i="12"/>
  <c r="I7" i="12"/>
  <c r="L13" i="12"/>
  <c r="I6" i="12"/>
  <c r="O13" i="12"/>
  <c r="R8" i="12"/>
  <c r="H4" i="12"/>
  <c r="P12" i="12"/>
  <c r="L14" i="12"/>
  <c r="K10" i="12"/>
  <c r="I9" i="12"/>
  <c r="R5" i="12"/>
  <c r="L8" i="12"/>
  <c r="O14" i="12"/>
  <c r="L7" i="12"/>
  <c r="S11" i="12"/>
  <c r="M9" i="12"/>
  <c r="J8" i="12"/>
  <c r="H6" i="12"/>
  <c r="K6" i="12"/>
  <c r="M4" i="12"/>
  <c r="Q5" i="12"/>
  <c r="K7" i="12"/>
  <c r="N7" i="12"/>
  <c r="M15" i="12"/>
  <c r="K14" i="12"/>
  <c r="N15" i="12"/>
  <c r="N8" i="12"/>
  <c r="Q8" i="12"/>
  <c r="H8" i="12"/>
  <c r="L9" i="12"/>
  <c r="H13" i="12"/>
  <c r="Q9" i="12"/>
  <c r="G10" i="12"/>
  <c r="S12" i="12"/>
  <c r="L4" i="12"/>
  <c r="O10" i="12"/>
  <c r="G11" i="12"/>
  <c r="J11" i="12"/>
  <c r="G7" i="12"/>
  <c r="I4" i="12"/>
  <c r="O9" i="12"/>
  <c r="O8" i="12"/>
  <c r="M12" i="12"/>
  <c r="R11" i="12"/>
  <c r="G14" i="12"/>
  <c r="R10" i="12"/>
  <c r="R9" i="12"/>
  <c r="H10" i="12"/>
  <c r="S6" i="12"/>
  <c r="N11" i="12"/>
  <c r="H12" i="12"/>
  <c r="H11" i="12"/>
  <c r="K11" i="12"/>
  <c r="Q11" i="12"/>
  <c r="H9" i="12"/>
  <c r="K13" i="12"/>
  <c r="K12" i="12"/>
  <c r="N12" i="12"/>
  <c r="R6" i="12"/>
  <c r="O6" i="12"/>
  <c r="N14" i="12"/>
  <c r="N13" i="12"/>
  <c r="Q13" i="12"/>
  <c r="P11" i="12"/>
  <c r="L3" i="12"/>
  <c r="Q15" i="12"/>
  <c r="Q14" i="12"/>
  <c r="G15" i="12"/>
  <c r="Q6" i="12"/>
  <c r="S13" i="12"/>
  <c r="N3" i="12"/>
  <c r="Q3" i="12"/>
  <c r="G4" i="12"/>
  <c r="O11" i="12"/>
  <c r="M11" i="12"/>
  <c r="Q4" i="12"/>
  <c r="G5" i="12"/>
  <c r="J5" i="12"/>
  <c r="O4" i="12"/>
  <c r="I15" i="12"/>
  <c r="O15" i="12"/>
  <c r="R15" i="12"/>
  <c r="R14" i="12"/>
  <c r="M6" i="12"/>
  <c r="G12" i="12"/>
  <c r="Q7" i="12"/>
  <c r="I13" i="12"/>
  <c r="O3" i="12"/>
  <c r="P7" i="12"/>
  <c r="N4" i="12"/>
  <c r="P10" i="12"/>
  <c r="H5" i="12"/>
  <c r="J3" i="12"/>
  <c r="R3" i="12"/>
  <c r="N9" i="12"/>
  <c r="R4" i="12"/>
  <c r="K5" i="12"/>
  <c r="K27" i="10"/>
  <c r="AA27" i="10"/>
  <c r="AA46" i="10" s="1"/>
  <c r="AB26" i="10"/>
  <c r="AB45" i="10" s="1"/>
  <c r="L26" i="10"/>
  <c r="K31" i="10"/>
  <c r="AA31" i="10"/>
  <c r="AA50" i="10" s="1"/>
  <c r="H23" i="10"/>
  <c r="X23" i="10"/>
  <c r="X42" i="10" s="1"/>
  <c r="AB31" i="10"/>
  <c r="AB50" i="10" s="1"/>
  <c r="L31" i="10"/>
  <c r="B14" i="10"/>
  <c r="X30" i="10"/>
  <c r="X49" i="10" s="1"/>
  <c r="H30" i="10"/>
  <c r="K24" i="10"/>
  <c r="AA24" i="10"/>
  <c r="AA43" i="10" s="1"/>
  <c r="J33" i="10"/>
  <c r="Z33" i="10"/>
  <c r="Z52" i="10" s="1"/>
  <c r="N26" i="10"/>
  <c r="AD26" i="10"/>
  <c r="AD45" i="10" s="1"/>
  <c r="E26" i="10"/>
  <c r="U26" i="10"/>
  <c r="U45" i="10" s="1"/>
  <c r="L32" i="10"/>
  <c r="AB32" i="10"/>
  <c r="AB51" i="10" s="1"/>
  <c r="N30" i="10"/>
  <c r="AD30" i="10"/>
  <c r="AD49" i="10" s="1"/>
  <c r="AD27" i="10"/>
  <c r="AD46" i="10" s="1"/>
  <c r="N27" i="10"/>
  <c r="B13" i="10"/>
  <c r="T32" i="10"/>
  <c r="T51" i="10" s="1"/>
  <c r="D32" i="10"/>
  <c r="K29" i="10"/>
  <c r="AA29" i="10"/>
  <c r="AA48" i="10" s="1"/>
  <c r="J23" i="10"/>
  <c r="Z23" i="10"/>
  <c r="Z42" i="10" s="1"/>
  <c r="AE23" i="10"/>
  <c r="AE42" i="10" s="1"/>
  <c r="O23" i="10"/>
  <c r="AB30" i="10"/>
  <c r="AB49" i="10" s="1"/>
  <c r="L30" i="10"/>
  <c r="B12" i="10"/>
  <c r="D31" i="10"/>
  <c r="T31" i="10"/>
  <c r="T50" i="10" s="1"/>
  <c r="I25" i="10"/>
  <c r="Y25" i="10"/>
  <c r="Y44" i="10" s="1"/>
  <c r="H31" i="10"/>
  <c r="X31" i="10"/>
  <c r="X50" i="10" s="1"/>
  <c r="F24" i="10"/>
  <c r="V24" i="10"/>
  <c r="V43" i="10" s="1"/>
  <c r="G32" i="10"/>
  <c r="W32" i="10"/>
  <c r="W51" i="10" s="1"/>
  <c r="H32" i="10"/>
  <c r="X32" i="10"/>
  <c r="X51" i="10" s="1"/>
  <c r="J29" i="10"/>
  <c r="Z29" i="10"/>
  <c r="Z48" i="10" s="1"/>
  <c r="O26" i="10"/>
  <c r="AE26" i="10"/>
  <c r="AE45" i="10" s="1"/>
  <c r="K2" i="10"/>
  <c r="AB22" i="10"/>
  <c r="AB41" i="10" s="1"/>
  <c r="L22" i="10"/>
  <c r="AC29" i="10"/>
  <c r="AC48" i="10" s="1"/>
  <c r="M29" i="10"/>
  <c r="E30" i="10"/>
  <c r="U30" i="10"/>
  <c r="U49" i="10" s="1"/>
  <c r="G24" i="10"/>
  <c r="W24" i="10"/>
  <c r="W43" i="10" s="1"/>
  <c r="J28" i="10"/>
  <c r="Z28" i="10"/>
  <c r="Z47" i="10" s="1"/>
  <c r="J25" i="10"/>
  <c r="Z25" i="10"/>
  <c r="Z44" i="10" s="1"/>
  <c r="Y30" i="10"/>
  <c r="Y49" i="10" s="1"/>
  <c r="I30" i="10"/>
  <c r="Z24" i="10"/>
  <c r="Z43" i="10" s="1"/>
  <c r="J24" i="10"/>
  <c r="E24" i="10"/>
  <c r="U24" i="10"/>
  <c r="U43" i="10" s="1"/>
  <c r="O25" i="10"/>
  <c r="AE25" i="10"/>
  <c r="AE44" i="10" s="1"/>
  <c r="G30" i="10"/>
  <c r="W30" i="10"/>
  <c r="W49" i="10" s="1"/>
  <c r="AD25" i="10"/>
  <c r="AD44" i="10" s="1"/>
  <c r="N25" i="10"/>
  <c r="U29" i="10"/>
  <c r="U48" i="10" s="1"/>
  <c r="E29" i="10"/>
  <c r="H27" i="10"/>
  <c r="X27" i="10"/>
  <c r="X46" i="10" s="1"/>
  <c r="H28" i="10"/>
  <c r="X28" i="10"/>
  <c r="X47" i="10" s="1"/>
  <c r="I28" i="10"/>
  <c r="Y28" i="10"/>
  <c r="Y47" i="10" s="1"/>
  <c r="M24" i="10"/>
  <c r="AC24" i="10"/>
  <c r="AC43" i="10" s="1"/>
  <c r="W25" i="10"/>
  <c r="W44" i="10" s="1"/>
  <c r="G25" i="10"/>
  <c r="AB27" i="10"/>
  <c r="AB46" i="10" s="1"/>
  <c r="L27" i="10"/>
  <c r="AC27" i="10"/>
  <c r="AC46" i="10" s="1"/>
  <c r="M27" i="10"/>
  <c r="AC23" i="10"/>
  <c r="AC42" i="10" s="1"/>
  <c r="M23" i="10"/>
  <c r="T29" i="10"/>
  <c r="T48" i="10" s="1"/>
  <c r="D29" i="10"/>
  <c r="B10" i="10"/>
  <c r="W29" i="10"/>
  <c r="W48" i="10" s="1"/>
  <c r="G29" i="10"/>
  <c r="J31" i="10"/>
  <c r="Z31" i="10"/>
  <c r="Z50" i="10" s="1"/>
  <c r="X29" i="10"/>
  <c r="X48" i="10" s="1"/>
  <c r="H29" i="10"/>
  <c r="I31" i="10"/>
  <c r="Y31" i="10"/>
  <c r="Y50" i="10" s="1"/>
  <c r="Y32" i="10"/>
  <c r="Y51" i="10" s="1"/>
  <c r="I32" i="10"/>
  <c r="M22" i="10"/>
  <c r="AC22" i="10"/>
  <c r="AC41" i="10" s="1"/>
  <c r="L2" i="10"/>
  <c r="E28" i="10"/>
  <c r="U28" i="10"/>
  <c r="U47" i="10" s="1"/>
  <c r="O29" i="10"/>
  <c r="AE29" i="10"/>
  <c r="AE48" i="10" s="1"/>
  <c r="G27" i="10"/>
  <c r="W27" i="10"/>
  <c r="W46" i="10" s="1"/>
  <c r="AC25" i="10"/>
  <c r="AC44" i="10" s="1"/>
  <c r="M25" i="10"/>
  <c r="X25" i="10"/>
  <c r="X44" i="10" s="1"/>
  <c r="H25" i="10"/>
  <c r="L24" i="10"/>
  <c r="AB24" i="10"/>
  <c r="AB43" i="10" s="1"/>
  <c r="T27" i="10"/>
  <c r="T46" i="10" s="1"/>
  <c r="D27" i="10"/>
  <c r="B8" i="10"/>
  <c r="K23" i="10"/>
  <c r="AA23" i="10"/>
  <c r="AA42" i="10" s="1"/>
  <c r="N22" i="10"/>
  <c r="AD22" i="10"/>
  <c r="AD41" i="10" s="1"/>
  <c r="M2" i="10"/>
  <c r="G31" i="10"/>
  <c r="W31" i="10"/>
  <c r="W50" i="10" s="1"/>
  <c r="AD31" i="10"/>
  <c r="AD50" i="10" s="1"/>
  <c r="N31" i="10"/>
  <c r="N28" i="10"/>
  <c r="AD28" i="10"/>
  <c r="AD47" i="10" s="1"/>
  <c r="Y22" i="10"/>
  <c r="Y41" i="10" s="1"/>
  <c r="H2" i="10"/>
  <c r="I22" i="10"/>
  <c r="K25" i="10"/>
  <c r="AA25" i="10"/>
  <c r="AA44" i="10" s="1"/>
  <c r="X22" i="10"/>
  <c r="X41" i="10" s="1"/>
  <c r="G2" i="10"/>
  <c r="H22" i="10"/>
  <c r="P3" i="10"/>
  <c r="O22" i="10" s="1"/>
  <c r="P2" i="10"/>
  <c r="O2" i="10"/>
  <c r="U27" i="10"/>
  <c r="U46" i="10" s="1"/>
  <c r="E27" i="10"/>
  <c r="U25" i="10"/>
  <c r="U44" i="10" s="1"/>
  <c r="E25" i="10"/>
  <c r="AC33" i="10"/>
  <c r="AC52" i="10" s="1"/>
  <c r="M33" i="10"/>
  <c r="F22" i="10"/>
  <c r="E2" i="10"/>
  <c r="V22" i="10"/>
  <c r="V41" i="10" s="1"/>
  <c r="Z30" i="10"/>
  <c r="Z49" i="10" s="1"/>
  <c r="J30" i="10"/>
  <c r="L29" i="10"/>
  <c r="AB29" i="10"/>
  <c r="AB48" i="10" s="1"/>
  <c r="N2" i="10"/>
  <c r="J27" i="10"/>
  <c r="Z27" i="10"/>
  <c r="Z46" i="10" s="1"/>
  <c r="AA33" i="10"/>
  <c r="AA52" i="10" s="1"/>
  <c r="K33" i="10"/>
  <c r="F28" i="10"/>
  <c r="V28" i="10"/>
  <c r="V47" i="10" s="1"/>
  <c r="N32" i="10"/>
  <c r="AD32" i="10"/>
  <c r="AD51" i="10" s="1"/>
  <c r="W33" i="10"/>
  <c r="W52" i="10" s="1"/>
  <c r="G33" i="10"/>
  <c r="AA30" i="10"/>
  <c r="AA49" i="10" s="1"/>
  <c r="K30" i="10"/>
  <c r="I29" i="10"/>
  <c r="Y29" i="10"/>
  <c r="Y48" i="10" s="1"/>
  <c r="D2" i="10"/>
  <c r="E22" i="10"/>
  <c r="U22" i="10"/>
  <c r="U41" i="10" s="1"/>
  <c r="U33" i="10"/>
  <c r="U52" i="10" s="1"/>
  <c r="E33" i="10"/>
  <c r="M30" i="10"/>
  <c r="AC30" i="10"/>
  <c r="AC49" i="10" s="1"/>
  <c r="AA22" i="10"/>
  <c r="AA41" i="10" s="1"/>
  <c r="J2" i="10"/>
  <c r="K22" i="10"/>
  <c r="V29" i="10"/>
  <c r="V48" i="10" s="1"/>
  <c r="F29" i="10"/>
  <c r="F30" i="10"/>
  <c r="V30" i="10"/>
  <c r="V49" i="10" s="1"/>
  <c r="AB25" i="10"/>
  <c r="AB44" i="10" s="1"/>
  <c r="L25" i="10"/>
  <c r="F26" i="10"/>
  <c r="V26" i="10"/>
  <c r="V45" i="10" s="1"/>
  <c r="N24" i="10"/>
  <c r="AD24" i="10"/>
  <c r="AD43" i="10" s="1"/>
  <c r="E31" i="10"/>
  <c r="U31" i="10"/>
  <c r="U50" i="10" s="1"/>
  <c r="X26" i="10"/>
  <c r="X45" i="10" s="1"/>
  <c r="H26" i="10"/>
  <c r="F32" i="10"/>
  <c r="V32" i="10"/>
  <c r="V51" i="10" s="1"/>
  <c r="G28" i="10"/>
  <c r="W28" i="10"/>
  <c r="W47" i="10" s="1"/>
  <c r="F31" i="10"/>
  <c r="V31" i="10"/>
  <c r="V50" i="10" s="1"/>
  <c r="D30" i="10"/>
  <c r="T30" i="10"/>
  <c r="T49" i="10" s="1"/>
  <c r="B11" i="10"/>
  <c r="B5" i="10"/>
  <c r="T24" i="10"/>
  <c r="T43" i="10" s="1"/>
  <c r="D24" i="10"/>
  <c r="G22" i="10"/>
  <c r="F2" i="10"/>
  <c r="W22" i="10"/>
  <c r="W41" i="10" s="1"/>
  <c r="G26" i="10"/>
  <c r="W26" i="10"/>
  <c r="W45" i="10" s="1"/>
  <c r="X24" i="10"/>
  <c r="X43" i="10" s="1"/>
  <c r="H24" i="10"/>
  <c r="I24" i="10"/>
  <c r="Y24" i="10"/>
  <c r="Y43" i="10" s="1"/>
  <c r="T25" i="10"/>
  <c r="T44" i="10" s="1"/>
  <c r="B6" i="10"/>
  <c r="D25" i="10"/>
  <c r="V23" i="10"/>
  <c r="V42" i="10" s="1"/>
  <c r="F23" i="10"/>
  <c r="L28" i="10"/>
  <c r="AB28" i="10"/>
  <c r="AB47" i="10" s="1"/>
  <c r="AB23" i="10"/>
  <c r="AB42" i="10" s="1"/>
  <c r="L23" i="10"/>
  <c r="V27" i="10"/>
  <c r="V46" i="10" s="1"/>
  <c r="F27" i="10"/>
  <c r="G23" i="10"/>
  <c r="W23" i="10"/>
  <c r="W42" i="10" s="1"/>
  <c r="K28" i="10"/>
  <c r="AA28" i="10"/>
  <c r="AA47" i="10" s="1"/>
  <c r="T26" i="10"/>
  <c r="T45" i="10" s="1"/>
  <c r="B2" i="10"/>
  <c r="D22" i="10"/>
  <c r="B3" i="10"/>
  <c r="T22" i="10"/>
  <c r="T41" i="10" s="1"/>
  <c r="C2" i="10"/>
  <c r="AE27" i="10"/>
  <c r="AE46" i="10" s="1"/>
  <c r="O27" i="10"/>
  <c r="O24" i="10"/>
  <c r="AE24" i="10"/>
  <c r="AE43" i="10" s="1"/>
  <c r="I23" i="10"/>
  <c r="Y23" i="10"/>
  <c r="Y42" i="10" s="1"/>
  <c r="I33" i="10"/>
  <c r="Y33" i="10"/>
  <c r="Y52" i="10" s="1"/>
  <c r="L33" i="10"/>
  <c r="AB33" i="10"/>
  <c r="AB52" i="10" s="1"/>
  <c r="AA26" i="10"/>
  <c r="AA45" i="10" s="1"/>
  <c r="K26" i="10"/>
  <c r="AC31" i="10"/>
  <c r="AC50" i="10" s="1"/>
  <c r="M31" i="10"/>
  <c r="M32" i="10"/>
  <c r="AC32" i="10"/>
  <c r="AC51" i="10" s="1"/>
  <c r="AD23" i="10"/>
  <c r="AD42" i="10" s="1"/>
  <c r="N23" i="10"/>
  <c r="Z26" i="10"/>
  <c r="Z45" i="10" s="1"/>
  <c r="J26" i="10"/>
  <c r="U23" i="10"/>
  <c r="U42" i="10" s="1"/>
  <c r="E23" i="10"/>
  <c r="O28" i="10"/>
  <c r="AE28" i="10"/>
  <c r="AE47" i="10" s="1"/>
  <c r="Z22" i="10"/>
  <c r="Z41" i="10" s="1"/>
  <c r="I2" i="10"/>
  <c r="J22" i="10"/>
  <c r="K32" i="10"/>
  <c r="AA32" i="10"/>
  <c r="AA51" i="10" s="1"/>
  <c r="D23" i="10"/>
  <c r="B4" i="10"/>
  <c r="T23" i="10"/>
  <c r="T42" i="10" s="1"/>
  <c r="X33" i="10"/>
  <c r="X52" i="10" s="1"/>
  <c r="H33" i="10"/>
  <c r="T28" i="10"/>
  <c r="T47" i="10" s="1"/>
  <c r="B9" i="10"/>
  <c r="D28" i="10"/>
  <c r="V33" i="10"/>
  <c r="V52" i="10" s="1"/>
  <c r="F33" i="10"/>
  <c r="V25" i="10"/>
  <c r="V44" i="10" s="1"/>
  <c r="F25" i="10"/>
  <c r="M26" i="10"/>
  <c r="AC26" i="10"/>
  <c r="AC45" i="10" s="1"/>
  <c r="J32" i="10"/>
  <c r="Z32" i="10"/>
  <c r="Z51" i="10" s="1"/>
  <c r="AE31" i="10"/>
  <c r="AE50" i="10" s="1"/>
  <c r="O31" i="10"/>
  <c r="E32" i="10"/>
  <c r="U32" i="10"/>
  <c r="U51" i="10" s="1"/>
  <c r="O16" i="10"/>
  <c r="N33" i="10" s="1"/>
  <c r="P15" i="10"/>
  <c r="AE32" i="10" s="1"/>
  <c r="AE51" i="10" s="1"/>
  <c r="P16" i="10"/>
  <c r="O30" i="10"/>
  <c r="AE30" i="10"/>
  <c r="AE49" i="10" s="1"/>
  <c r="N29" i="10"/>
  <c r="AD29" i="10"/>
  <c r="AD48" i="10" s="1"/>
  <c r="C16" i="10"/>
  <c r="T33" i="10" s="1"/>
  <c r="T52" i="10" s="1"/>
  <c r="B15" i="10"/>
  <c r="B16" i="10"/>
  <c r="I27" i="10"/>
  <c r="Y27" i="10"/>
  <c r="Y46" i="10" s="1"/>
  <c r="M28" i="10"/>
  <c r="AC28" i="10"/>
  <c r="AC47" i="10" s="1"/>
  <c r="Y26" i="10"/>
  <c r="Y45" i="10" s="1"/>
  <c r="I26" i="10"/>
  <c r="D26" i="10"/>
  <c r="T16" i="12" l="1"/>
  <c r="V16" i="12" s="1"/>
  <c r="AE22" i="10"/>
  <c r="AE41" i="10" s="1"/>
  <c r="C26" i="10"/>
  <c r="C45" i="10" s="1"/>
  <c r="D33" i="10"/>
  <c r="AJ52" i="10" s="1"/>
  <c r="O32" i="10"/>
  <c r="O51" i="10" s="1"/>
  <c r="O33" i="10"/>
  <c r="O52" i="10" s="1"/>
  <c r="AD33" i="10"/>
  <c r="AD52" i="10" s="1"/>
  <c r="AC90" i="10" s="1"/>
  <c r="AC39" i="12" s="1"/>
  <c r="S26" i="10"/>
  <c r="S45" i="10" s="1"/>
  <c r="AE33" i="10"/>
  <c r="AE52" i="10" s="1"/>
  <c r="T21" i="10"/>
  <c r="T40" i="10" s="1"/>
  <c r="D21" i="10"/>
  <c r="C24" i="10"/>
  <c r="S24" i="10"/>
  <c r="S43" i="10" s="1"/>
  <c r="S30" i="10"/>
  <c r="S49" i="10" s="1"/>
  <c r="C30" i="10"/>
  <c r="C49" i="10" s="1"/>
  <c r="C32" i="10"/>
  <c r="C51" i="10" s="1"/>
  <c r="S32" i="10"/>
  <c r="S51" i="10" s="1"/>
  <c r="J21" i="10"/>
  <c r="Z21" i="10"/>
  <c r="Z40" i="10" s="1"/>
  <c r="S21" i="10"/>
  <c r="S40" i="10" s="1"/>
  <c r="C21" i="10"/>
  <c r="C23" i="10"/>
  <c r="C42" i="10" s="1"/>
  <c r="S23" i="10"/>
  <c r="S42" i="10" s="1"/>
  <c r="I21" i="10"/>
  <c r="I40" i="10" s="1"/>
  <c r="Y21" i="10"/>
  <c r="Y40" i="10" s="1"/>
  <c r="C25" i="10"/>
  <c r="C44" i="10" s="1"/>
  <c r="S25" i="10"/>
  <c r="S44" i="10" s="1"/>
  <c r="U21" i="10"/>
  <c r="U40" i="10" s="1"/>
  <c r="E21" i="10"/>
  <c r="L21" i="10"/>
  <c r="L40" i="10" s="1"/>
  <c r="AB21" i="10"/>
  <c r="AB40" i="10" s="1"/>
  <c r="C33" i="10"/>
  <c r="C52" i="10" s="1"/>
  <c r="S33" i="10"/>
  <c r="S52" i="10" s="1"/>
  <c r="N21" i="10"/>
  <c r="N40" i="10" s="1"/>
  <c r="AD21" i="10"/>
  <c r="AD40" i="10" s="1"/>
  <c r="C31" i="10"/>
  <c r="C50" i="10" s="1"/>
  <c r="S31" i="10"/>
  <c r="S50" i="10" s="1"/>
  <c r="S29" i="10"/>
  <c r="S48" i="10" s="1"/>
  <c r="C29" i="10"/>
  <c r="C48" i="10" s="1"/>
  <c r="C22" i="10"/>
  <c r="C41" i="10" s="1"/>
  <c r="S22" i="10"/>
  <c r="S41" i="10" s="1"/>
  <c r="O21" i="10"/>
  <c r="AE21" i="10"/>
  <c r="AE40" i="10" s="1"/>
  <c r="S28" i="10"/>
  <c r="S47" i="10" s="1"/>
  <c r="C28" i="10"/>
  <c r="C47" i="10" s="1"/>
  <c r="X21" i="10"/>
  <c r="X40" i="10" s="1"/>
  <c r="H21" i="10"/>
  <c r="H40" i="10" s="1"/>
  <c r="AA21" i="10"/>
  <c r="AA40" i="10" s="1"/>
  <c r="K21" i="10"/>
  <c r="K40" i="10" s="1"/>
  <c r="AC21" i="10"/>
  <c r="AC40" i="10" s="1"/>
  <c r="M21" i="10"/>
  <c r="M40" i="10" s="1"/>
  <c r="W21" i="10"/>
  <c r="W40" i="10" s="1"/>
  <c r="G21" i="10"/>
  <c r="S27" i="10"/>
  <c r="S46" i="10" s="1"/>
  <c r="C27" i="10"/>
  <c r="C46" i="10" s="1"/>
  <c r="V21" i="10"/>
  <c r="V40" i="10" s="1"/>
  <c r="F21" i="10"/>
  <c r="F40" i="10" s="1"/>
  <c r="V90" i="10"/>
  <c r="V39" i="12" s="1"/>
  <c r="X83" i="10"/>
  <c r="X32" i="12" s="1"/>
  <c r="AB89" i="10"/>
  <c r="AB38" i="12" s="1"/>
  <c r="W84" i="10"/>
  <c r="W33" i="12" s="1"/>
  <c r="AB87" i="10"/>
  <c r="AB36" i="12" s="1"/>
  <c r="AB80" i="10"/>
  <c r="AB29" i="12" s="1"/>
  <c r="V83" i="10"/>
  <c r="V32" i="12" s="1"/>
  <c r="V85" i="10"/>
  <c r="V34" i="12" s="1"/>
  <c r="X89" i="10"/>
  <c r="X38" i="12" s="1"/>
  <c r="Y81" i="10"/>
  <c r="Y30" i="12" s="1"/>
  <c r="X84" i="10"/>
  <c r="X33" i="12" s="1"/>
  <c r="Y90" i="10"/>
  <c r="Y39" i="12" s="1"/>
  <c r="Y83" i="10"/>
  <c r="Y32" i="12" s="1"/>
  <c r="V88" i="10"/>
  <c r="V37" i="12" s="1"/>
  <c r="Z80" i="10"/>
  <c r="Z29" i="12" s="1"/>
  <c r="AA87" i="10"/>
  <c r="AA36" i="12" s="1"/>
  <c r="AD80" i="10"/>
  <c r="AD29" i="12" s="1"/>
  <c r="X86" i="10"/>
  <c r="X35" i="12" s="1"/>
  <c r="W83" i="10"/>
  <c r="W32" i="12" s="1"/>
  <c r="AD81" i="10"/>
  <c r="AD30" i="12" s="1"/>
  <c r="Z90" i="10"/>
  <c r="Z39" i="12" s="1"/>
  <c r="AB88" i="10"/>
  <c r="AB37" i="12" s="1"/>
  <c r="AE86" i="10"/>
  <c r="AE35" i="12" s="1"/>
  <c r="AB84" i="10"/>
  <c r="AB33" i="12" s="1"/>
  <c r="Y85" i="10"/>
  <c r="Y34" i="12" s="1"/>
  <c r="AD87" i="10"/>
  <c r="AD36" i="12" s="1"/>
  <c r="AA80" i="10"/>
  <c r="AA29" i="12" s="1"/>
  <c r="V87" i="10"/>
  <c r="V36" i="12" s="1"/>
  <c r="AC80" i="10"/>
  <c r="AC29" i="12" s="1"/>
  <c r="X90" i="10"/>
  <c r="X39" i="12" s="1"/>
  <c r="AA81" i="10"/>
  <c r="AA30" i="12" s="1"/>
  <c r="AE85" i="10"/>
  <c r="AE34" i="12" s="1"/>
  <c r="AD84" i="10"/>
  <c r="AD33" i="12" s="1"/>
  <c r="AD88" i="10"/>
  <c r="AD37" i="12" s="1"/>
  <c r="Z84" i="10"/>
  <c r="Z33" i="12" s="1"/>
  <c r="Z89" i="10"/>
  <c r="Z38" i="12" s="1"/>
  <c r="AC83" i="10"/>
  <c r="AC32" i="12" s="1"/>
  <c r="Z87" i="10"/>
  <c r="Z36" i="12" s="1"/>
  <c r="V82" i="10"/>
  <c r="V31" i="12" s="1"/>
  <c r="AE83" i="10"/>
  <c r="AE32" i="12" s="1"/>
  <c r="AC81" i="10"/>
  <c r="AC30" i="12" s="1"/>
  <c r="AA85" i="10"/>
  <c r="AA34" i="12" s="1"/>
  <c r="U82" i="10"/>
  <c r="U31" i="12" s="1"/>
  <c r="X88" i="10"/>
  <c r="X37" i="12" s="1"/>
  <c r="AC86" i="10"/>
  <c r="AC35" i="12" s="1"/>
  <c r="AE81" i="10"/>
  <c r="AE30" i="12" s="1"/>
  <c r="Z83" i="10"/>
  <c r="Z32" i="12" s="1"/>
  <c r="Z86" i="10"/>
  <c r="Z35" i="12" s="1"/>
  <c r="V84" i="10"/>
  <c r="V33" i="12" s="1"/>
  <c r="AB82" i="10"/>
  <c r="AB31" i="12" s="1"/>
  <c r="Z85" i="10"/>
  <c r="Z34" i="12" s="1"/>
  <c r="U88" i="10"/>
  <c r="U37" i="12" s="1"/>
  <c r="W87" i="10"/>
  <c r="W36" i="12" s="1"/>
  <c r="AE88" i="10"/>
  <c r="AE37" i="12" s="1"/>
  <c r="AB81" i="10"/>
  <c r="AB30" i="12" s="1"/>
  <c r="U86" i="10"/>
  <c r="U35" i="12" s="1"/>
  <c r="Y86" i="10"/>
  <c r="Y35" i="12" s="1"/>
  <c r="AB83" i="10"/>
  <c r="AB32" i="12" s="1"/>
  <c r="U80" i="10"/>
  <c r="U29" i="12" s="1"/>
  <c r="AA90" i="10"/>
  <c r="AA39" i="12" s="1"/>
  <c r="Z82" i="10"/>
  <c r="Z31" i="12" s="1"/>
  <c r="AE87" i="10"/>
  <c r="AE36" i="12" s="1"/>
  <c r="Y84" i="10"/>
  <c r="Y33" i="12" s="1"/>
  <c r="U85" i="10"/>
  <c r="U34" i="12" s="1"/>
  <c r="V80" i="10"/>
  <c r="V29" i="12" s="1"/>
  <c r="W80" i="10"/>
  <c r="W29" i="12" s="1"/>
  <c r="AB85" i="10"/>
  <c r="AB34" i="12" s="1"/>
  <c r="U90" i="10"/>
  <c r="U39" i="12" s="1"/>
  <c r="AE80" i="10"/>
  <c r="AE29" i="12" s="1"/>
  <c r="Y87" i="10"/>
  <c r="Y36" i="12" s="1"/>
  <c r="AA82" i="10"/>
  <c r="AA31" i="12" s="1"/>
  <c r="AA86" i="10"/>
  <c r="AA35" i="12" s="1"/>
  <c r="X87" i="10"/>
  <c r="X36" i="12" s="1"/>
  <c r="Y80" i="10"/>
  <c r="Y29" i="12" s="1"/>
  <c r="AD86" i="10"/>
  <c r="AD35" i="12" s="1"/>
  <c r="V81" i="10"/>
  <c r="V30" i="12" s="1"/>
  <c r="Z88" i="10"/>
  <c r="Z37" i="12" s="1"/>
  <c r="W85" i="10"/>
  <c r="W34" i="12" s="1"/>
  <c r="AD85" i="10"/>
  <c r="AD34" i="12" s="1"/>
  <c r="X85" i="10"/>
  <c r="X34" i="12" s="1"/>
  <c r="AA84" i="10"/>
  <c r="AA33" i="12" s="1"/>
  <c r="AC87" i="10"/>
  <c r="AC36" i="12" s="1"/>
  <c r="AA88" i="10"/>
  <c r="AA37" i="12" s="1"/>
  <c r="AD83" i="10"/>
  <c r="AD32" i="12" s="1"/>
  <c r="Y82" i="10"/>
  <c r="Y31" i="12" s="1"/>
  <c r="W82" i="10"/>
  <c r="W31" i="12" s="1"/>
  <c r="Y88" i="10"/>
  <c r="Y37" i="12" s="1"/>
  <c r="W88" i="10"/>
  <c r="W37" i="12" s="1"/>
  <c r="W89" i="10"/>
  <c r="W38" i="12" s="1"/>
  <c r="U81" i="10"/>
  <c r="U30" i="12" s="1"/>
  <c r="AD82" i="10"/>
  <c r="AD31" i="12" s="1"/>
  <c r="Z81" i="10"/>
  <c r="Z30" i="12" s="1"/>
  <c r="AC84" i="10"/>
  <c r="AC33" i="12" s="1"/>
  <c r="X81" i="10"/>
  <c r="X30" i="12" s="1"/>
  <c r="U84" i="10"/>
  <c r="U33" i="12" s="1"/>
  <c r="AA89" i="10"/>
  <c r="AA38" i="12" s="1"/>
  <c r="U87" i="10"/>
  <c r="U36" i="12" s="1"/>
  <c r="X82" i="10"/>
  <c r="X31" i="12" s="1"/>
  <c r="V89" i="10"/>
  <c r="V38" i="12" s="1"/>
  <c r="AE84" i="10"/>
  <c r="AE33" i="12" s="1"/>
  <c r="AA83" i="10"/>
  <c r="AA32" i="12" s="1"/>
  <c r="U83" i="10"/>
  <c r="U32" i="12" s="1"/>
  <c r="U89" i="10"/>
  <c r="U38" i="12" s="1"/>
  <c r="W90" i="10"/>
  <c r="W39" i="12" s="1"/>
  <c r="AB86" i="10"/>
  <c r="AB35" i="12" s="1"/>
  <c r="AC85" i="10"/>
  <c r="AC34" i="12" s="1"/>
  <c r="W81" i="10"/>
  <c r="W30" i="12" s="1"/>
  <c r="Y89" i="10"/>
  <c r="Y38" i="12" s="1"/>
  <c r="X80" i="10"/>
  <c r="X29" i="12" s="1"/>
  <c r="AC88" i="10"/>
  <c r="AC37" i="12" s="1"/>
  <c r="AB90" i="10"/>
  <c r="AB39" i="12" s="1"/>
  <c r="AC82" i="10"/>
  <c r="AC31" i="12" s="1"/>
  <c r="W86" i="10"/>
  <c r="W35" i="12" s="1"/>
  <c r="AE82" i="10"/>
  <c r="AE31" i="12" s="1"/>
  <c r="V86" i="10"/>
  <c r="V35" i="12" s="1"/>
  <c r="O44" i="10"/>
  <c r="AU44" i="10"/>
  <c r="AT43" i="10"/>
  <c r="N43" i="10"/>
  <c r="AJ49" i="10"/>
  <c r="D49" i="10"/>
  <c r="E49" i="10"/>
  <c r="AK49" i="10"/>
  <c r="K45" i="10"/>
  <c r="AQ45" i="10"/>
  <c r="AU42" i="10"/>
  <c r="O42" i="10"/>
  <c r="AJ51" i="10"/>
  <c r="D51" i="10"/>
  <c r="L52" i="10"/>
  <c r="AR52" i="10"/>
  <c r="O47" i="10"/>
  <c r="AU47" i="10"/>
  <c r="AL45" i="10"/>
  <c r="F45" i="10"/>
  <c r="I48" i="10"/>
  <c r="AO48" i="10"/>
  <c r="H46" i="10"/>
  <c r="AN46" i="10"/>
  <c r="AM47" i="10"/>
  <c r="G47" i="10"/>
  <c r="AM44" i="10"/>
  <c r="G44" i="10"/>
  <c r="AU46" i="10"/>
  <c r="O46" i="10"/>
  <c r="J41" i="10"/>
  <c r="AP41" i="10"/>
  <c r="M42" i="10"/>
  <c r="AS42" i="10"/>
  <c r="M51" i="10"/>
  <c r="AS51" i="10"/>
  <c r="I51" i="10"/>
  <c r="AO51" i="10"/>
  <c r="I41" i="10"/>
  <c r="AO41" i="10"/>
  <c r="K49" i="10"/>
  <c r="AQ49" i="10"/>
  <c r="AK46" i="10"/>
  <c r="E46" i="10"/>
  <c r="K50" i="10"/>
  <c r="AQ50" i="10"/>
  <c r="AK48" i="10"/>
  <c r="E48" i="10"/>
  <c r="AT46" i="10"/>
  <c r="N46" i="10"/>
  <c r="L50" i="10"/>
  <c r="AR50" i="10"/>
  <c r="AN51" i="10"/>
  <c r="H51" i="10"/>
  <c r="J44" i="10"/>
  <c r="AP44" i="10"/>
  <c r="AN52" i="10"/>
  <c r="H52" i="10"/>
  <c r="M47" i="10"/>
  <c r="AS47" i="10"/>
  <c r="AM45" i="10"/>
  <c r="G45" i="10"/>
  <c r="H48" i="10"/>
  <c r="AN48" i="10"/>
  <c r="AT51" i="10"/>
  <c r="N51" i="10"/>
  <c r="L49" i="10"/>
  <c r="AR49" i="10"/>
  <c r="L41" i="10"/>
  <c r="AR41" i="10"/>
  <c r="AR42" i="10"/>
  <c r="L42" i="10"/>
  <c r="AO45" i="10"/>
  <c r="I45" i="10"/>
  <c r="M43" i="10"/>
  <c r="AS43" i="10"/>
  <c r="AJ47" i="10"/>
  <c r="D47" i="10"/>
  <c r="J46" i="10"/>
  <c r="AP46" i="10"/>
  <c r="E42" i="10"/>
  <c r="AK42" i="10"/>
  <c r="AR51" i="10"/>
  <c r="L51" i="10"/>
  <c r="N45" i="10"/>
  <c r="AT45" i="10"/>
  <c r="AM48" i="10"/>
  <c r="G48" i="10"/>
  <c r="N52" i="10"/>
  <c r="AQ42" i="10"/>
  <c r="K42" i="10"/>
  <c r="AS41" i="10"/>
  <c r="M41" i="10"/>
  <c r="N50" i="10"/>
  <c r="AT50" i="10"/>
  <c r="J42" i="10"/>
  <c r="AP42" i="10"/>
  <c r="AO50" i="10"/>
  <c r="I50" i="10"/>
  <c r="F44" i="10"/>
  <c r="AL44" i="10"/>
  <c r="G52" i="10"/>
  <c r="AM52" i="10"/>
  <c r="K52" i="10"/>
  <c r="AQ52" i="10"/>
  <c r="G49" i="10"/>
  <c r="AM49" i="10"/>
  <c r="L47" i="10"/>
  <c r="AR47" i="10"/>
  <c r="AT42" i="10"/>
  <c r="N42" i="10"/>
  <c r="AN41" i="10"/>
  <c r="H41" i="10"/>
  <c r="AO44" i="10"/>
  <c r="I44" i="10"/>
  <c r="K43" i="10"/>
  <c r="AQ43" i="10"/>
  <c r="AO46" i="10"/>
  <c r="I46" i="10"/>
  <c r="AJ42" i="10"/>
  <c r="D42" i="10"/>
  <c r="AK43" i="10"/>
  <c r="E43" i="10"/>
  <c r="AS45" i="10"/>
  <c r="M45" i="10"/>
  <c r="O45" i="10"/>
  <c r="AU45" i="10"/>
  <c r="F46" i="10"/>
  <c r="AL46" i="10"/>
  <c r="K44" i="10"/>
  <c r="AQ44" i="10"/>
  <c r="H47" i="10"/>
  <c r="AN47" i="10"/>
  <c r="I42" i="10"/>
  <c r="AO42" i="10"/>
  <c r="O50" i="10"/>
  <c r="AU50" i="10"/>
  <c r="K51" i="10"/>
  <c r="AQ51" i="10"/>
  <c r="AS48" i="10"/>
  <c r="M48" i="10"/>
  <c r="J47" i="10"/>
  <c r="AP47" i="10"/>
  <c r="AL52" i="10"/>
  <c r="F52" i="10"/>
  <c r="J51" i="10"/>
  <c r="AP51" i="10"/>
  <c r="I43" i="10"/>
  <c r="AO43" i="10"/>
  <c r="AO47" i="10"/>
  <c r="I47" i="10"/>
  <c r="E45" i="10"/>
  <c r="AK45" i="10"/>
  <c r="J52" i="10"/>
  <c r="AP52" i="10"/>
  <c r="AT48" i="10"/>
  <c r="N48" i="10"/>
  <c r="K47" i="10"/>
  <c r="AQ47" i="10"/>
  <c r="AJ43" i="10"/>
  <c r="D43" i="10"/>
  <c r="AJ46" i="10"/>
  <c r="D46" i="10"/>
  <c r="N41" i="10"/>
  <c r="AT41" i="10"/>
  <c r="AS46" i="10"/>
  <c r="M46" i="10"/>
  <c r="I49" i="10"/>
  <c r="AO49" i="10"/>
  <c r="D44" i="10"/>
  <c r="AJ44" i="10"/>
  <c r="O41" i="10"/>
  <c r="AU41" i="10"/>
  <c r="AJ48" i="10"/>
  <c r="D48" i="10"/>
  <c r="L45" i="10"/>
  <c r="AR45" i="10"/>
  <c r="E52" i="10"/>
  <c r="AK52" i="10"/>
  <c r="F41" i="10"/>
  <c r="AL41" i="10"/>
  <c r="AT47" i="10"/>
  <c r="N47" i="10"/>
  <c r="N44" i="10"/>
  <c r="AT44" i="10"/>
  <c r="AR48" i="10"/>
  <c r="L48" i="10"/>
  <c r="D50" i="10"/>
  <c r="AJ50" i="10"/>
  <c r="I52" i="10"/>
  <c r="AO52" i="10"/>
  <c r="AP50" i="10"/>
  <c r="J50" i="10"/>
  <c r="AM41" i="10"/>
  <c r="G41" i="10"/>
  <c r="G43" i="10"/>
  <c r="AM43" i="10"/>
  <c r="D41" i="10"/>
  <c r="AJ41" i="10"/>
  <c r="AU49" i="10"/>
  <c r="O49" i="10"/>
  <c r="E50" i="10"/>
  <c r="AK50" i="10"/>
  <c r="O48" i="10"/>
  <c r="AU48" i="10"/>
  <c r="AM50" i="10"/>
  <c r="G50" i="10"/>
  <c r="AP48" i="10"/>
  <c r="J48" i="10"/>
  <c r="E44" i="10"/>
  <c r="AK44" i="10"/>
  <c r="F50" i="10"/>
  <c r="AL50" i="10"/>
  <c r="AL48" i="10"/>
  <c r="F48" i="10"/>
  <c r="N49" i="10"/>
  <c r="AT49" i="10"/>
  <c r="M49" i="10"/>
  <c r="AS49" i="10"/>
  <c r="AP43" i="10"/>
  <c r="J43" i="10"/>
  <c r="J49" i="10"/>
  <c r="AP49" i="10"/>
  <c r="M44" i="10"/>
  <c r="AS44" i="10"/>
  <c r="AL51" i="10"/>
  <c r="F51" i="10"/>
  <c r="F49" i="10"/>
  <c r="AL49" i="10"/>
  <c r="H43" i="10"/>
  <c r="AN43" i="10"/>
  <c r="AL43" i="10"/>
  <c r="F43" i="10"/>
  <c r="H49" i="10"/>
  <c r="AN49" i="10"/>
  <c r="L43" i="10"/>
  <c r="AR43" i="10"/>
  <c r="F47" i="10"/>
  <c r="AL47" i="10"/>
  <c r="AK41" i="10"/>
  <c r="E41" i="10"/>
  <c r="M52" i="10"/>
  <c r="AS52" i="10"/>
  <c r="E47" i="10"/>
  <c r="AK47" i="10"/>
  <c r="AQ46" i="10"/>
  <c r="K46" i="10"/>
  <c r="D45" i="10"/>
  <c r="AJ45" i="10"/>
  <c r="L44" i="10"/>
  <c r="AR44" i="10"/>
  <c r="H44" i="10"/>
  <c r="AN44" i="10"/>
  <c r="G51" i="10"/>
  <c r="AM51" i="10"/>
  <c r="G46" i="10"/>
  <c r="AM46" i="10"/>
  <c r="O43" i="10"/>
  <c r="AU43" i="10"/>
  <c r="AP45" i="10"/>
  <c r="J45" i="10"/>
  <c r="M50" i="10"/>
  <c r="AS50" i="10"/>
  <c r="H45" i="10"/>
  <c r="AN45" i="10"/>
  <c r="AR46" i="10"/>
  <c r="L46" i="10"/>
  <c r="F42" i="10"/>
  <c r="AL42" i="10"/>
  <c r="H50" i="10"/>
  <c r="AN50" i="10"/>
  <c r="AM42" i="10"/>
  <c r="G42" i="10"/>
  <c r="E51" i="10"/>
  <c r="AK51" i="10"/>
  <c r="K48" i="10"/>
  <c r="AQ48" i="10"/>
  <c r="H42" i="10"/>
  <c r="AN42" i="10"/>
  <c r="AQ41" i="10"/>
  <c r="K41" i="10"/>
  <c r="AE90" i="10" l="1"/>
  <c r="AE39" i="12" s="1"/>
  <c r="AT52" i="10"/>
  <c r="AI45" i="10"/>
  <c r="AI42" i="10"/>
  <c r="AC89" i="10"/>
  <c r="AC38" i="12" s="1"/>
  <c r="AU51" i="10"/>
  <c r="AT88" i="10" s="1"/>
  <c r="AT37" i="12" s="1"/>
  <c r="D52" i="10"/>
  <c r="D89" i="10" s="1"/>
  <c r="D38" i="12" s="1"/>
  <c r="T84" i="10"/>
  <c r="T33" i="12" s="1"/>
  <c r="AI46" i="10"/>
  <c r="T83" i="10"/>
  <c r="T32" i="12" s="1"/>
  <c r="AR40" i="10"/>
  <c r="AI48" i="10"/>
  <c r="S84" i="10"/>
  <c r="S33" i="12" s="1"/>
  <c r="X79" i="10"/>
  <c r="X28" i="12" s="1"/>
  <c r="T82" i="10"/>
  <c r="T31" i="12" s="1"/>
  <c r="AE79" i="10"/>
  <c r="AE28" i="12" s="1"/>
  <c r="S83" i="10"/>
  <c r="S32" i="12" s="1"/>
  <c r="AK40" i="10"/>
  <c r="S82" i="10"/>
  <c r="S31" i="12" s="1"/>
  <c r="AI44" i="10"/>
  <c r="AD90" i="10"/>
  <c r="AD39" i="12" s="1"/>
  <c r="S90" i="10"/>
  <c r="S39" i="12" s="1"/>
  <c r="AC78" i="10"/>
  <c r="AC27" i="12" s="1"/>
  <c r="AD79" i="10"/>
  <c r="AD28" i="12" s="1"/>
  <c r="AP40" i="10"/>
  <c r="T80" i="10"/>
  <c r="T29" i="12" s="1"/>
  <c r="AU40" i="10"/>
  <c r="AD89" i="10"/>
  <c r="AD38" i="12" s="1"/>
  <c r="AI43" i="10"/>
  <c r="C43" i="10"/>
  <c r="C82" i="10" s="1"/>
  <c r="C31" i="12" s="1"/>
  <c r="AU52" i="10"/>
  <c r="AM40" i="10"/>
  <c r="S88" i="10"/>
  <c r="S37" i="12" s="1"/>
  <c r="AC79" i="10"/>
  <c r="AC28" i="12" s="1"/>
  <c r="AD78" i="10"/>
  <c r="AD27" i="12" s="1"/>
  <c r="AB78" i="10"/>
  <c r="AB27" i="12" s="1"/>
  <c r="T90" i="10"/>
  <c r="T39" i="12" s="1"/>
  <c r="AB79" i="10"/>
  <c r="AB28" i="12" s="1"/>
  <c r="AA78" i="10"/>
  <c r="AA27" i="12" s="1"/>
  <c r="AI52" i="10"/>
  <c r="AT40" i="10"/>
  <c r="V79" i="10"/>
  <c r="V28" i="12" s="1"/>
  <c r="AI49" i="10"/>
  <c r="AI47" i="10"/>
  <c r="AE89" i="10"/>
  <c r="AE38" i="12" s="1"/>
  <c r="AI41" i="10"/>
  <c r="E40" i="10"/>
  <c r="O40" i="10"/>
  <c r="O78" i="10" s="1"/>
  <c r="O27" i="12" s="1"/>
  <c r="AE78" i="10"/>
  <c r="AE27" i="12" s="1"/>
  <c r="S81" i="10"/>
  <c r="S30" i="12" s="1"/>
  <c r="J40" i="10"/>
  <c r="I79" i="10" s="1"/>
  <c r="I28" i="12" s="1"/>
  <c r="Z79" i="10"/>
  <c r="Z28" i="12" s="1"/>
  <c r="V78" i="10"/>
  <c r="V27" i="12" s="1"/>
  <c r="S85" i="10"/>
  <c r="S34" i="12" s="1"/>
  <c r="T86" i="10"/>
  <c r="T35" i="12" s="1"/>
  <c r="S89" i="10"/>
  <c r="S38" i="12" s="1"/>
  <c r="T89" i="10"/>
  <c r="T38" i="12" s="1"/>
  <c r="S80" i="10"/>
  <c r="S29" i="12" s="1"/>
  <c r="G40" i="10"/>
  <c r="G79" i="10" s="1"/>
  <c r="G28" i="12" s="1"/>
  <c r="AI51" i="10"/>
  <c r="AA79" i="10"/>
  <c r="AA28" i="12" s="1"/>
  <c r="S87" i="10"/>
  <c r="S36" i="12" s="1"/>
  <c r="X78" i="10"/>
  <c r="X27" i="12" s="1"/>
  <c r="T87" i="10"/>
  <c r="T36" i="12" s="1"/>
  <c r="AO40" i="10"/>
  <c r="Y79" i="10"/>
  <c r="Y28" i="12" s="1"/>
  <c r="W78" i="10"/>
  <c r="W27" i="12" s="1"/>
  <c r="T88" i="10"/>
  <c r="T37" i="12" s="1"/>
  <c r="AI50" i="10"/>
  <c r="W79" i="10"/>
  <c r="W28" i="12" s="1"/>
  <c r="Y78" i="10"/>
  <c r="Y27" i="12" s="1"/>
  <c r="AS40" i="10"/>
  <c r="T85" i="10"/>
  <c r="T34" i="12" s="1"/>
  <c r="S86" i="10"/>
  <c r="S35" i="12" s="1"/>
  <c r="Z78" i="10"/>
  <c r="Z27" i="12" s="1"/>
  <c r="T81" i="10"/>
  <c r="T30" i="12" s="1"/>
  <c r="AL40" i="10"/>
  <c r="AN40" i="10"/>
  <c r="AQ40" i="10"/>
  <c r="E86" i="10"/>
  <c r="E35" i="12" s="1"/>
  <c r="K89" i="10"/>
  <c r="K38" i="12" s="1"/>
  <c r="E88" i="10"/>
  <c r="E37" i="12" s="1"/>
  <c r="AS87" i="10"/>
  <c r="AS36" i="12" s="1"/>
  <c r="AP83" i="10"/>
  <c r="AP32" i="12" s="1"/>
  <c r="AP89" i="10"/>
  <c r="AP38" i="12" s="1"/>
  <c r="AS90" i="10"/>
  <c r="AS39" i="12" s="1"/>
  <c r="K83" i="10"/>
  <c r="K32" i="12" s="1"/>
  <c r="E84" i="10"/>
  <c r="E33" i="12" s="1"/>
  <c r="F83" i="10"/>
  <c r="F32" i="12" s="1"/>
  <c r="O87" i="10"/>
  <c r="O36" i="12" s="1"/>
  <c r="I80" i="10"/>
  <c r="I29" i="12" s="1"/>
  <c r="I90" i="10"/>
  <c r="I39" i="12" s="1"/>
  <c r="H86" i="10"/>
  <c r="H35" i="12" s="1"/>
  <c r="L87" i="10"/>
  <c r="L36" i="12" s="1"/>
  <c r="N89" i="10"/>
  <c r="N38" i="12" s="1"/>
  <c r="AM90" i="10"/>
  <c r="AM39" i="12" s="1"/>
  <c r="AT84" i="10"/>
  <c r="AT33" i="12" s="1"/>
  <c r="AU83" i="10"/>
  <c r="AU32" i="12" s="1"/>
  <c r="AQ81" i="10"/>
  <c r="AQ30" i="12" s="1"/>
  <c r="N83" i="10"/>
  <c r="N32" i="12" s="1"/>
  <c r="H82" i="10"/>
  <c r="H31" i="12" s="1"/>
  <c r="O83" i="10"/>
  <c r="O32" i="12" s="1"/>
  <c r="AU87" i="10"/>
  <c r="AU36" i="12" s="1"/>
  <c r="AO90" i="10"/>
  <c r="AO39" i="12" s="1"/>
  <c r="F82" i="10"/>
  <c r="F31" i="12" s="1"/>
  <c r="AQ87" i="10"/>
  <c r="AQ36" i="12" s="1"/>
  <c r="AP81" i="10"/>
  <c r="AP30" i="12" s="1"/>
  <c r="AP90" i="10"/>
  <c r="AP39" i="12" s="1"/>
  <c r="AL88" i="10"/>
  <c r="AL37" i="12" s="1"/>
  <c r="F90" i="10"/>
  <c r="F39" i="12" s="1"/>
  <c r="F86" i="10"/>
  <c r="F35" i="12" s="1"/>
  <c r="I88" i="10"/>
  <c r="I37" i="12" s="1"/>
  <c r="K88" i="10"/>
  <c r="K37" i="12" s="1"/>
  <c r="AN89" i="10"/>
  <c r="AN38" i="12" s="1"/>
  <c r="D87" i="10"/>
  <c r="D36" i="12" s="1"/>
  <c r="C87" i="10"/>
  <c r="C36" i="12" s="1"/>
  <c r="AU86" i="10"/>
  <c r="AU35" i="12" s="1"/>
  <c r="K86" i="10"/>
  <c r="K35" i="12" s="1"/>
  <c r="J81" i="10"/>
  <c r="J30" i="12" s="1"/>
  <c r="AU81" i="10"/>
  <c r="AU30" i="12" s="1"/>
  <c r="O89" i="10"/>
  <c r="O38" i="12" s="1"/>
  <c r="K85" i="10"/>
  <c r="K34" i="12" s="1"/>
  <c r="M89" i="10"/>
  <c r="M38" i="12" s="1"/>
  <c r="J90" i="10"/>
  <c r="J39" i="12" s="1"/>
  <c r="I85" i="10"/>
  <c r="I34" i="12" s="1"/>
  <c r="F88" i="10"/>
  <c r="F37" i="12" s="1"/>
  <c r="AL90" i="10"/>
  <c r="AL39" i="12" s="1"/>
  <c r="O81" i="10"/>
  <c r="O30" i="12" s="1"/>
  <c r="AM80" i="10"/>
  <c r="AM29" i="12" s="1"/>
  <c r="O85" i="10"/>
  <c r="O34" i="12" s="1"/>
  <c r="M86" i="10"/>
  <c r="M35" i="12" s="1"/>
  <c r="F80" i="10"/>
  <c r="F29" i="12" s="1"/>
  <c r="AU80" i="10"/>
  <c r="AU29" i="12" s="1"/>
  <c r="J86" i="10"/>
  <c r="J35" i="12" s="1"/>
  <c r="N87" i="10"/>
  <c r="N36" i="12" s="1"/>
  <c r="AR83" i="10"/>
  <c r="AR32" i="12" s="1"/>
  <c r="AN88" i="10"/>
  <c r="AN37" i="12" s="1"/>
  <c r="L81" i="10"/>
  <c r="L30" i="12" s="1"/>
  <c r="AT82" i="10"/>
  <c r="AT31" i="12" s="1"/>
  <c r="H84" i="10"/>
  <c r="H33" i="12" s="1"/>
  <c r="F87" i="10"/>
  <c r="F36" i="12" s="1"/>
  <c r="AT81" i="10"/>
  <c r="AT30" i="12" s="1"/>
  <c r="G84" i="10"/>
  <c r="G33" i="12" s="1"/>
  <c r="O82" i="10"/>
  <c r="O31" i="12" s="1"/>
  <c r="D84" i="10"/>
  <c r="D33" i="12" s="1"/>
  <c r="C84" i="10"/>
  <c r="C33" i="12" s="1"/>
  <c r="AO80" i="10"/>
  <c r="AO29" i="12" s="1"/>
  <c r="N80" i="10"/>
  <c r="N29" i="12" s="1"/>
  <c r="I86" i="10"/>
  <c r="I35" i="12" s="1"/>
  <c r="AN90" i="10"/>
  <c r="AN39" i="12" s="1"/>
  <c r="N82" i="10"/>
  <c r="N31" i="12" s="1"/>
  <c r="AM81" i="10"/>
  <c r="AM30" i="12" s="1"/>
  <c r="AO83" i="10"/>
  <c r="AO32" i="12" s="1"/>
  <c r="L79" i="10"/>
  <c r="L28" i="12" s="1"/>
  <c r="L78" i="10"/>
  <c r="L27" i="12" s="1"/>
  <c r="AO82" i="10"/>
  <c r="AO31" i="12" s="1"/>
  <c r="AU88" i="10"/>
  <c r="AU37" i="12" s="1"/>
  <c r="AL89" i="10"/>
  <c r="AL38" i="12" s="1"/>
  <c r="AS84" i="10"/>
  <c r="AS33" i="12" s="1"/>
  <c r="E85" i="10"/>
  <c r="E34" i="12" s="1"/>
  <c r="AP82" i="10"/>
  <c r="AP31" i="12" s="1"/>
  <c r="AM85" i="10"/>
  <c r="AM34" i="12" s="1"/>
  <c r="E81" i="10"/>
  <c r="E30" i="12" s="1"/>
  <c r="J84" i="10"/>
  <c r="J33" i="12" s="1"/>
  <c r="AT86" i="10"/>
  <c r="AT35" i="12" s="1"/>
  <c r="AQ80" i="10"/>
  <c r="AQ29" i="12" s="1"/>
  <c r="U79" i="10"/>
  <c r="U28" i="12" s="1"/>
  <c r="U78" i="10"/>
  <c r="U27" i="12" s="1"/>
  <c r="L86" i="10"/>
  <c r="L35" i="12" s="1"/>
  <c r="L88" i="10"/>
  <c r="L37" i="12" s="1"/>
  <c r="K84" i="10"/>
  <c r="K33" i="12" s="1"/>
  <c r="AN82" i="10"/>
  <c r="AN31" i="12" s="1"/>
  <c r="AS88" i="10"/>
  <c r="AS37" i="12" s="1"/>
  <c r="AR84" i="10"/>
  <c r="AR33" i="12" s="1"/>
  <c r="F81" i="10"/>
  <c r="F30" i="12" s="1"/>
  <c r="L84" i="10"/>
  <c r="L33" i="12" s="1"/>
  <c r="AQ88" i="10"/>
  <c r="AQ37" i="12" s="1"/>
  <c r="AO85" i="10"/>
  <c r="AO34" i="12" s="1"/>
  <c r="AL84" i="10"/>
  <c r="AL33" i="12" s="1"/>
  <c r="D85" i="10"/>
  <c r="D34" i="12" s="1"/>
  <c r="C85" i="10"/>
  <c r="C34" i="12" s="1"/>
  <c r="H85" i="10"/>
  <c r="H34" i="12" s="1"/>
  <c r="F84" i="10"/>
  <c r="F33" i="12" s="1"/>
  <c r="N90" i="10"/>
  <c r="N39" i="12" s="1"/>
  <c r="AL80" i="10"/>
  <c r="AL29" i="12" s="1"/>
  <c r="O80" i="10"/>
  <c r="O29" i="12" s="1"/>
  <c r="AR81" i="10"/>
  <c r="AR30" i="12" s="1"/>
  <c r="G81" i="10"/>
  <c r="G30" i="12" s="1"/>
  <c r="M84" i="10"/>
  <c r="M33" i="12" s="1"/>
  <c r="D88" i="10"/>
  <c r="D37" i="12" s="1"/>
  <c r="C88" i="10"/>
  <c r="C37" i="12" s="1"/>
  <c r="N86" i="10"/>
  <c r="N35" i="12" s="1"/>
  <c r="J85" i="10"/>
  <c r="J34" i="12" s="1"/>
  <c r="AR89" i="10"/>
  <c r="AR38" i="12" s="1"/>
  <c r="K87" i="10"/>
  <c r="K36" i="12" s="1"/>
  <c r="AR85" i="10"/>
  <c r="AR34" i="12" s="1"/>
  <c r="J88" i="10"/>
  <c r="J37" i="12" s="1"/>
  <c r="K81" i="10"/>
  <c r="K30" i="12" s="1"/>
  <c r="AN86" i="10"/>
  <c r="AN35" i="12" s="1"/>
  <c r="H89" i="10"/>
  <c r="H38" i="12" s="1"/>
  <c r="AS89" i="10"/>
  <c r="AS38" i="12" s="1"/>
  <c r="K82" i="10"/>
  <c r="K31" i="12" s="1"/>
  <c r="AO86" i="10"/>
  <c r="AO35" i="12" s="1"/>
  <c r="AO87" i="10"/>
  <c r="AO36" i="12" s="1"/>
  <c r="AN80" i="10"/>
  <c r="AN29" i="12" s="1"/>
  <c r="D90" i="10"/>
  <c r="D39" i="12" s="1"/>
  <c r="C90" i="10"/>
  <c r="C39" i="12" s="1"/>
  <c r="AU85" i="10"/>
  <c r="AU34" i="12" s="1"/>
  <c r="G82" i="10"/>
  <c r="G31" i="12" s="1"/>
  <c r="N88" i="10"/>
  <c r="N37" i="12" s="1"/>
  <c r="AT87" i="10"/>
  <c r="AT36" i="12" s="1"/>
  <c r="AN84" i="10"/>
  <c r="AN33" i="12" s="1"/>
  <c r="AU82" i="10"/>
  <c r="AU31" i="12" s="1"/>
  <c r="AR80" i="10"/>
  <c r="AR29" i="12" s="1"/>
  <c r="F89" i="10"/>
  <c r="F38" i="12" s="1"/>
  <c r="J82" i="10"/>
  <c r="J31" i="12" s="1"/>
  <c r="AM86" i="10"/>
  <c r="AM35" i="12" s="1"/>
  <c r="E87" i="10"/>
  <c r="E36" i="12" s="1"/>
  <c r="M81" i="10"/>
  <c r="M30" i="12" s="1"/>
  <c r="AS85" i="10"/>
  <c r="AS34" i="12" s="1"/>
  <c r="G86" i="10"/>
  <c r="G35" i="12" s="1"/>
  <c r="G88" i="10"/>
  <c r="G37" i="12" s="1"/>
  <c r="AM87" i="10"/>
  <c r="AM36" i="12" s="1"/>
  <c r="E89" i="10"/>
  <c r="E38" i="12" s="1"/>
  <c r="AK87" i="10"/>
  <c r="AK36" i="12" s="1"/>
  <c r="L90" i="10"/>
  <c r="L39" i="12" s="1"/>
  <c r="AP85" i="10"/>
  <c r="AP34" i="12" s="1"/>
  <c r="AN87" i="10"/>
  <c r="AN36" i="12" s="1"/>
  <c r="AS81" i="10"/>
  <c r="AS30" i="12" s="1"/>
  <c r="L89" i="10"/>
  <c r="L38" i="12" s="1"/>
  <c r="AP88" i="10"/>
  <c r="AP37" i="12" s="1"/>
  <c r="M88" i="10"/>
  <c r="M37" i="12" s="1"/>
  <c r="O86" i="10"/>
  <c r="O35" i="12" s="1"/>
  <c r="N85" i="10"/>
  <c r="N34" i="12" s="1"/>
  <c r="AK86" i="10"/>
  <c r="AK35" i="12" s="1"/>
  <c r="I89" i="10"/>
  <c r="I38" i="12" s="1"/>
  <c r="AP86" i="10"/>
  <c r="AP35" i="12" s="1"/>
  <c r="N81" i="10"/>
  <c r="N30" i="12" s="1"/>
  <c r="I82" i="10"/>
  <c r="I31" i="12" s="1"/>
  <c r="AK81" i="10"/>
  <c r="AK30" i="12" s="1"/>
  <c r="AM88" i="10"/>
  <c r="AM37" i="12" s="1"/>
  <c r="AS83" i="10"/>
  <c r="AS32" i="12" s="1"/>
  <c r="AK80" i="10"/>
  <c r="AK29" i="12" s="1"/>
  <c r="E82" i="10"/>
  <c r="E31" i="12" s="1"/>
  <c r="AR82" i="10"/>
  <c r="AR31" i="12" s="1"/>
  <c r="AM83" i="10"/>
  <c r="AM32" i="12" s="1"/>
  <c r="AU84" i="10"/>
  <c r="AU33" i="12" s="1"/>
  <c r="AS80" i="10"/>
  <c r="AS29" i="12" s="1"/>
  <c r="D86" i="10"/>
  <c r="D35" i="12" s="1"/>
  <c r="C86" i="10"/>
  <c r="C35" i="12" s="1"/>
  <c r="F85" i="10"/>
  <c r="F34" i="12" s="1"/>
  <c r="H83" i="10"/>
  <c r="H32" i="12" s="1"/>
  <c r="E83" i="10"/>
  <c r="E32" i="12" s="1"/>
  <c r="M79" i="10"/>
  <c r="M28" i="12" s="1"/>
  <c r="M78" i="10"/>
  <c r="M27" i="12" s="1"/>
  <c r="L85" i="10"/>
  <c r="L34" i="12" s="1"/>
  <c r="AL81" i="10"/>
  <c r="AL30" i="12" s="1"/>
  <c r="AQ84" i="10"/>
  <c r="AQ33" i="12" s="1"/>
  <c r="AO88" i="10"/>
  <c r="AO37" i="12" s="1"/>
  <c r="AQ86" i="10"/>
  <c r="AQ35" i="12" s="1"/>
  <c r="O90" i="10"/>
  <c r="O39" i="12" s="1"/>
  <c r="AN85" i="10"/>
  <c r="AN34" i="12" s="1"/>
  <c r="AS86" i="10"/>
  <c r="AS35" i="12" s="1"/>
  <c r="AP87" i="10"/>
  <c r="AP36" i="12" s="1"/>
  <c r="AQ82" i="10"/>
  <c r="AQ31" i="12" s="1"/>
  <c r="AT85" i="10"/>
  <c r="AT34" i="12" s="1"/>
  <c r="I87" i="10"/>
  <c r="I36" i="12" s="1"/>
  <c r="AK88" i="10"/>
  <c r="AK37" i="12" s="1"/>
  <c r="AO89" i="10"/>
  <c r="AO38" i="12" s="1"/>
  <c r="H90" i="10"/>
  <c r="H39" i="12" s="1"/>
  <c r="AQ89" i="10"/>
  <c r="AQ38" i="12" s="1"/>
  <c r="L83" i="10"/>
  <c r="L32" i="12" s="1"/>
  <c r="AM84" i="10"/>
  <c r="AM33" i="12" s="1"/>
  <c r="I83" i="10"/>
  <c r="I32" i="12" s="1"/>
  <c r="G85" i="10"/>
  <c r="G34" i="12" s="1"/>
  <c r="AP84" i="10"/>
  <c r="AP33" i="12" s="1"/>
  <c r="K80" i="10"/>
  <c r="K29" i="12" s="1"/>
  <c r="M85" i="10"/>
  <c r="M34" i="12" s="1"/>
  <c r="AK89" i="10"/>
  <c r="AK38" i="12" s="1"/>
  <c r="H87" i="10"/>
  <c r="H36" i="12" s="1"/>
  <c r="AO84" i="10"/>
  <c r="AO33" i="12" s="1"/>
  <c r="AS82" i="10"/>
  <c r="AS31" i="12" s="1"/>
  <c r="AM89" i="10"/>
  <c r="AM38" i="12" s="1"/>
  <c r="D83" i="10"/>
  <c r="D32" i="12" s="1"/>
  <c r="C83" i="10"/>
  <c r="C32" i="12" s="1"/>
  <c r="AQ90" i="10"/>
  <c r="AQ39" i="12" s="1"/>
  <c r="I81" i="10"/>
  <c r="I30" i="12" s="1"/>
  <c r="I84" i="10"/>
  <c r="I33" i="12" s="1"/>
  <c r="M83" i="10"/>
  <c r="M32" i="12" s="1"/>
  <c r="M82" i="10"/>
  <c r="M31" i="12" s="1"/>
  <c r="G89" i="10"/>
  <c r="G38" i="12" s="1"/>
  <c r="E80" i="10"/>
  <c r="E29" i="12" s="1"/>
  <c r="AK82" i="10"/>
  <c r="AK31" i="12" s="1"/>
  <c r="K90" i="10"/>
  <c r="K39" i="12" s="1"/>
  <c r="L82" i="10"/>
  <c r="L31" i="12" s="1"/>
  <c r="G83" i="10"/>
  <c r="G32" i="12" s="1"/>
  <c r="O84" i="10"/>
  <c r="O33" i="12" s="1"/>
  <c r="M80" i="10"/>
  <c r="M29" i="12" s="1"/>
  <c r="AL85" i="10"/>
  <c r="AL34" i="12" s="1"/>
  <c r="AN83" i="10"/>
  <c r="AN32" i="12" s="1"/>
  <c r="AK90" i="10"/>
  <c r="AK39" i="12" s="1"/>
  <c r="AT83" i="10"/>
  <c r="AT32" i="12" s="1"/>
  <c r="AP80" i="10"/>
  <c r="AP29" i="12" s="1"/>
  <c r="AL82" i="10"/>
  <c r="AL31" i="12" s="1"/>
  <c r="J80" i="10"/>
  <c r="J29" i="12" s="1"/>
  <c r="AL86" i="10"/>
  <c r="AL35" i="12" s="1"/>
  <c r="AQ85" i="10"/>
  <c r="AQ34" i="12" s="1"/>
  <c r="H81" i="10"/>
  <c r="H30" i="12" s="1"/>
  <c r="H80" i="10"/>
  <c r="H29" i="12" s="1"/>
  <c r="AN81" i="10"/>
  <c r="AN30" i="12" s="1"/>
  <c r="G80" i="10"/>
  <c r="G29" i="12" s="1"/>
  <c r="AT80" i="10"/>
  <c r="AT29" i="12" s="1"/>
  <c r="J87" i="10"/>
  <c r="J36" i="12" s="1"/>
  <c r="AM82" i="10"/>
  <c r="AM31" i="12" s="1"/>
  <c r="H88" i="10"/>
  <c r="H37" i="12" s="1"/>
  <c r="AL87" i="10"/>
  <c r="AL36" i="12" s="1"/>
  <c r="L80" i="10"/>
  <c r="L29" i="12" s="1"/>
  <c r="O88" i="10"/>
  <c r="O37" i="12" s="1"/>
  <c r="AK85" i="10"/>
  <c r="AK34" i="12" s="1"/>
  <c r="G87" i="10"/>
  <c r="G36" i="12" s="1"/>
  <c r="AR90" i="10"/>
  <c r="AR39" i="12" s="1"/>
  <c r="AO81" i="10"/>
  <c r="AO30" i="12" s="1"/>
  <c r="AR87" i="10"/>
  <c r="AR36" i="12" s="1"/>
  <c r="AK84" i="10"/>
  <c r="AK33" i="12" s="1"/>
  <c r="T79" i="10"/>
  <c r="T28" i="12" s="1"/>
  <c r="S79" i="10"/>
  <c r="S28" i="12" s="1"/>
  <c r="T78" i="10"/>
  <c r="T27" i="12" s="1"/>
  <c r="S78" i="10"/>
  <c r="S27" i="12" s="1"/>
  <c r="G90" i="10"/>
  <c r="G39" i="12" s="1"/>
  <c r="AL83" i="10"/>
  <c r="AL32" i="12" s="1"/>
  <c r="M87" i="10"/>
  <c r="M36" i="12" s="1"/>
  <c r="AK83" i="10"/>
  <c r="AK32" i="12" s="1"/>
  <c r="AR86" i="10"/>
  <c r="AR35" i="12" s="1"/>
  <c r="N84" i="10"/>
  <c r="N33" i="12" s="1"/>
  <c r="J83" i="10"/>
  <c r="J32" i="12" s="1"/>
  <c r="J89" i="10"/>
  <c r="J38" i="12" s="1"/>
  <c r="M90" i="10"/>
  <c r="M39" i="12" s="1"/>
  <c r="AQ83" i="10"/>
  <c r="AQ32" i="12" s="1"/>
  <c r="AR88" i="10"/>
  <c r="AR37" i="12" s="1"/>
  <c r="C40" i="10"/>
  <c r="AI40" i="10"/>
  <c r="T55" i="10"/>
  <c r="S55" i="10"/>
  <c r="AB55" i="10" s="1"/>
  <c r="AJ40" i="10"/>
  <c r="D40" i="10"/>
  <c r="AF40" i="12" l="1"/>
  <c r="AG41" i="12" s="1"/>
  <c r="E90" i="10"/>
  <c r="E39" i="12" s="1"/>
  <c r="C89" i="10"/>
  <c r="C38" i="12" s="1"/>
  <c r="AT89" i="10"/>
  <c r="AT38" i="12" s="1"/>
  <c r="AJ80" i="10"/>
  <c r="AJ29" i="12" s="1"/>
  <c r="AJ87" i="10"/>
  <c r="AJ36" i="12" s="1"/>
  <c r="AJ83" i="10"/>
  <c r="AJ32" i="12" s="1"/>
  <c r="AJ84" i="10"/>
  <c r="AJ33" i="12" s="1"/>
  <c r="H79" i="10"/>
  <c r="H28" i="12" s="1"/>
  <c r="AI86" i="10"/>
  <c r="AI35" i="12" s="1"/>
  <c r="AI84" i="10"/>
  <c r="AI33" i="12" s="1"/>
  <c r="AS79" i="10"/>
  <c r="AS28" i="12" s="1"/>
  <c r="H78" i="10"/>
  <c r="H27" i="12" s="1"/>
  <c r="AU89" i="10"/>
  <c r="AU38" i="12" s="1"/>
  <c r="AU78" i="10"/>
  <c r="AU27" i="12" s="1"/>
  <c r="AU79" i="10"/>
  <c r="AU28" i="12" s="1"/>
  <c r="AP79" i="10"/>
  <c r="AP28" i="12" s="1"/>
  <c r="AI83" i="10"/>
  <c r="AI32" i="12" s="1"/>
  <c r="AI82" i="10"/>
  <c r="AI31" i="12" s="1"/>
  <c r="AI90" i="10"/>
  <c r="AI39" i="12" s="1"/>
  <c r="AS78" i="10"/>
  <c r="AS27" i="12" s="1"/>
  <c r="AT79" i="10"/>
  <c r="AT28" i="12" s="1"/>
  <c r="D80" i="10"/>
  <c r="D29" i="12" s="1"/>
  <c r="D82" i="10"/>
  <c r="D31" i="12" s="1"/>
  <c r="AR78" i="10"/>
  <c r="AR27" i="12" s="1"/>
  <c r="F79" i="10"/>
  <c r="F28" i="12" s="1"/>
  <c r="AT90" i="10"/>
  <c r="AT39" i="12" s="1"/>
  <c r="K79" i="10"/>
  <c r="K28" i="12" s="1"/>
  <c r="F78" i="10"/>
  <c r="F27" i="12" s="1"/>
  <c r="J78" i="10"/>
  <c r="J27" i="12" s="1"/>
  <c r="AI81" i="10"/>
  <c r="AI30" i="12" s="1"/>
  <c r="K78" i="10"/>
  <c r="K27" i="12" s="1"/>
  <c r="AI87" i="10"/>
  <c r="AI36" i="12" s="1"/>
  <c r="AJ82" i="10"/>
  <c r="AJ31" i="12" s="1"/>
  <c r="AJ81" i="10"/>
  <c r="AJ30" i="12" s="1"/>
  <c r="C80" i="10"/>
  <c r="C29" i="12" s="1"/>
  <c r="AU90" i="10"/>
  <c r="AU39" i="12" s="1"/>
  <c r="J79" i="10"/>
  <c r="J28" i="12" s="1"/>
  <c r="C81" i="10"/>
  <c r="C30" i="12" s="1"/>
  <c r="AL79" i="10"/>
  <c r="AL28" i="12" s="1"/>
  <c r="AJ90" i="10"/>
  <c r="AJ39" i="12" s="1"/>
  <c r="I78" i="10"/>
  <c r="I27" i="12" s="1"/>
  <c r="AJ86" i="10"/>
  <c r="AJ35" i="12" s="1"/>
  <c r="AI85" i="10"/>
  <c r="AI34" i="12" s="1"/>
  <c r="AJ88" i="10"/>
  <c r="AJ37" i="12" s="1"/>
  <c r="AJ85" i="10"/>
  <c r="AJ34" i="12" s="1"/>
  <c r="O79" i="10"/>
  <c r="O28" i="12" s="1"/>
  <c r="D81" i="10"/>
  <c r="D30" i="12" s="1"/>
  <c r="AT78" i="10"/>
  <c r="AT27" i="12" s="1"/>
  <c r="AN79" i="10"/>
  <c r="AN28" i="12" s="1"/>
  <c r="N78" i="10"/>
  <c r="N27" i="12" s="1"/>
  <c r="AQ78" i="10"/>
  <c r="AQ27" i="12" s="1"/>
  <c r="N79" i="10"/>
  <c r="N28" i="12" s="1"/>
  <c r="AO78" i="10"/>
  <c r="AO27" i="12" s="1"/>
  <c r="AO79" i="10"/>
  <c r="AO28" i="12" s="1"/>
  <c r="AP78" i="10"/>
  <c r="AP27" i="12" s="1"/>
  <c r="AI80" i="10"/>
  <c r="AI29" i="12" s="1"/>
  <c r="AM78" i="10"/>
  <c r="AM27" i="12" s="1"/>
  <c r="AL78" i="10"/>
  <c r="AL27" i="12" s="1"/>
  <c r="AR79" i="10"/>
  <c r="AR28" i="12" s="1"/>
  <c r="AJ89" i="10"/>
  <c r="AJ38" i="12" s="1"/>
  <c r="G78" i="10"/>
  <c r="G27" i="12" s="1"/>
  <c r="AI88" i="10"/>
  <c r="AI37" i="12" s="1"/>
  <c r="AQ79" i="10"/>
  <c r="AQ28" i="12" s="1"/>
  <c r="AM79" i="10"/>
  <c r="AM28" i="12" s="1"/>
  <c r="AN78" i="10"/>
  <c r="AN27" i="12" s="1"/>
  <c r="AI89" i="10"/>
  <c r="AI38" i="12" s="1"/>
  <c r="E79" i="10"/>
  <c r="E28" i="12" s="1"/>
  <c r="E78" i="10"/>
  <c r="E27" i="12" s="1"/>
  <c r="AJ79" i="10"/>
  <c r="AJ28" i="12" s="1"/>
  <c r="AJ78" i="10"/>
  <c r="AJ27" i="12" s="1"/>
  <c r="AI79" i="10"/>
  <c r="AI28" i="12" s="1"/>
  <c r="AI78" i="10"/>
  <c r="AI27" i="12" s="1"/>
  <c r="D79" i="10"/>
  <c r="D28" i="12" s="1"/>
  <c r="C78" i="10"/>
  <c r="C27" i="12" s="1"/>
  <c r="D78" i="10"/>
  <c r="D27" i="12" s="1"/>
  <c r="C79" i="10"/>
  <c r="C28" i="12" s="1"/>
  <c r="AK79" i="10"/>
  <c r="AK28" i="12" s="1"/>
  <c r="AK78" i="10"/>
  <c r="AK27" i="12" s="1"/>
  <c r="U55" i="10"/>
  <c r="AA55" i="10" s="1"/>
  <c r="AJ55" i="10"/>
  <c r="AI55" i="10"/>
  <c r="AR55" i="10" s="1"/>
  <c r="C55" i="10"/>
  <c r="L55" i="10" s="1"/>
  <c r="D55" i="10"/>
  <c r="P40" i="12" l="1"/>
  <c r="Q41" i="12" s="1"/>
  <c r="AV40" i="12"/>
  <c r="AW41" i="12" s="1"/>
  <c r="E55" i="10"/>
  <c r="K55" i="10" s="1"/>
  <c r="C60" i="10" s="1"/>
  <c r="AK55" i="10"/>
  <c r="AQ55" i="10" s="1"/>
  <c r="AI60" i="10" s="1"/>
  <c r="W60" i="10"/>
  <c r="Z60" i="10"/>
  <c r="T65" i="10"/>
  <c r="U70" i="10"/>
  <c r="Z63" i="10"/>
  <c r="W66" i="10"/>
  <c r="S71" i="10"/>
  <c r="X67" i="10"/>
  <c r="AA63" i="10"/>
  <c r="Z62" i="10"/>
  <c r="S63" i="10"/>
  <c r="AD61" i="10"/>
  <c r="Z70" i="10"/>
  <c r="AE66" i="10"/>
  <c r="AB62" i="10"/>
  <c r="AE62" i="10"/>
  <c r="X63" i="10"/>
  <c r="X70" i="10"/>
  <c r="X68" i="10"/>
  <c r="Z68" i="10"/>
  <c r="AD69" i="10"/>
  <c r="T61" i="10"/>
  <c r="S68" i="10"/>
  <c r="W64" i="10"/>
  <c r="AC71" i="10"/>
  <c r="AC72" i="10"/>
  <c r="U62" i="10"/>
  <c r="V68" i="10"/>
  <c r="V63" i="10"/>
  <c r="U72" i="10"/>
  <c r="W70" i="10"/>
  <c r="AB63" i="10"/>
  <c r="W65" i="10"/>
  <c r="U69" i="10"/>
  <c r="S64" i="10"/>
  <c r="AE63" i="10"/>
  <c r="U71" i="10"/>
  <c r="AE72" i="10"/>
  <c r="Z61" i="10"/>
  <c r="S65" i="10"/>
  <c r="U68" i="10"/>
  <c r="Y65" i="10"/>
  <c r="AC66" i="10"/>
  <c r="Y62" i="10"/>
  <c r="AB66" i="10"/>
  <c r="W69" i="10"/>
  <c r="AD72" i="10"/>
  <c r="AB68" i="10"/>
  <c r="V66" i="10"/>
  <c r="W68" i="10"/>
  <c r="AE69" i="10"/>
  <c r="T68" i="10"/>
  <c r="W63" i="10"/>
  <c r="AA64" i="10"/>
  <c r="V69" i="10"/>
  <c r="X72" i="10"/>
  <c r="Y70" i="10"/>
  <c r="AB65" i="10"/>
  <c r="S67" i="10"/>
  <c r="AA65" i="10"/>
  <c r="AA72" i="10"/>
  <c r="AA69" i="10"/>
  <c r="AD65" i="10"/>
  <c r="V62" i="10"/>
  <c r="AD68" i="10"/>
  <c r="AC62" i="10"/>
  <c r="AC64" i="10"/>
  <c r="Z69" i="10"/>
  <c r="AB69" i="10"/>
  <c r="AB70" i="10"/>
  <c r="AD62" i="10"/>
  <c r="T66" i="10"/>
  <c r="AB64" i="10"/>
  <c r="AE64" i="10"/>
  <c r="AC63" i="10"/>
  <c r="W61" i="10"/>
  <c r="AE71" i="10"/>
  <c r="Z71" i="10"/>
  <c r="T63" i="10"/>
  <c r="T72" i="10"/>
  <c r="S70" i="10"/>
  <c r="AB60" i="10"/>
  <c r="Y71" i="10"/>
  <c r="AD66" i="10"/>
  <c r="AD71" i="10"/>
  <c r="AC60" i="10"/>
  <c r="Y72" i="10"/>
  <c r="X64" i="10"/>
  <c r="T62" i="10"/>
  <c r="U64" i="10"/>
  <c r="X60" i="10"/>
  <c r="Y67" i="10"/>
  <c r="X71" i="10"/>
  <c r="AD63" i="10"/>
  <c r="X65" i="10"/>
  <c r="T69" i="10"/>
  <c r="T71" i="10"/>
  <c r="Y60" i="10"/>
  <c r="S61" i="10"/>
  <c r="V60" i="10"/>
  <c r="U67" i="10"/>
  <c r="Z66" i="10"/>
  <c r="AB67" i="10"/>
  <c r="X61" i="10"/>
  <c r="V70" i="10"/>
  <c r="AE67" i="10"/>
  <c r="AA71" i="10"/>
  <c r="AA67" i="10"/>
  <c r="AE68" i="10"/>
  <c r="Z64" i="10"/>
  <c r="U65" i="10"/>
  <c r="Y69" i="10"/>
  <c r="V65" i="10"/>
  <c r="W62" i="10"/>
  <c r="S66" i="10"/>
  <c r="AA70" i="10"/>
  <c r="T70" i="10"/>
  <c r="V67" i="10"/>
  <c r="Z67" i="10"/>
  <c r="AB61" i="10"/>
  <c r="X66" i="10"/>
  <c r="W71" i="10"/>
  <c r="AA68" i="10"/>
  <c r="AA62" i="10"/>
  <c r="AC61" i="10"/>
  <c r="W72" i="10"/>
  <c r="U66" i="10"/>
  <c r="AA66" i="10"/>
  <c r="Z72" i="10"/>
  <c r="AC67" i="10"/>
  <c r="AE70" i="10"/>
  <c r="AA61" i="10"/>
  <c r="V72" i="10"/>
  <c r="Y61" i="10"/>
  <c r="U61" i="10"/>
  <c r="AD67" i="10"/>
  <c r="AD70" i="10"/>
  <c r="S62" i="10"/>
  <c r="X69" i="10"/>
  <c r="AC65" i="10"/>
  <c r="AD64" i="10"/>
  <c r="AD60" i="10"/>
  <c r="V61" i="10"/>
  <c r="U63" i="10"/>
  <c r="W67" i="10"/>
  <c r="V71" i="10"/>
  <c r="X62" i="10"/>
  <c r="AC69" i="10"/>
  <c r="T64" i="10"/>
  <c r="Y64" i="10"/>
  <c r="S69" i="10"/>
  <c r="Y63" i="10"/>
  <c r="V64" i="10"/>
  <c r="AA60" i="10"/>
  <c r="AB72" i="10"/>
  <c r="U60" i="10"/>
  <c r="Z65" i="10"/>
  <c r="AB71" i="10"/>
  <c r="S72" i="10"/>
  <c r="Y66" i="10"/>
  <c r="T67" i="10"/>
  <c r="AC68" i="10"/>
  <c r="AE61" i="10"/>
  <c r="AE65" i="10"/>
  <c r="AC70" i="10"/>
  <c r="Y68" i="10"/>
  <c r="AE60" i="10"/>
  <c r="T60" i="10"/>
  <c r="S60" i="10"/>
  <c r="D71" i="10" l="1"/>
  <c r="E71" i="10"/>
  <c r="F65" i="10"/>
  <c r="M62" i="10"/>
  <c r="H68" i="10"/>
  <c r="N71" i="10"/>
  <c r="J62" i="10"/>
  <c r="N60" i="10"/>
  <c r="G62" i="10"/>
  <c r="O70" i="10"/>
  <c r="I65" i="10"/>
  <c r="J63" i="10"/>
  <c r="C64" i="10"/>
  <c r="M60" i="10"/>
  <c r="K71" i="10"/>
  <c r="E60" i="10"/>
  <c r="E64" i="10"/>
  <c r="G71" i="10"/>
  <c r="H71" i="10"/>
  <c r="I66" i="10"/>
  <c r="H72" i="10"/>
  <c r="O60" i="10"/>
  <c r="N68" i="10"/>
  <c r="L69" i="10"/>
  <c r="C68" i="10"/>
  <c r="H60" i="10"/>
  <c r="J66" i="10"/>
  <c r="K61" i="10"/>
  <c r="G63" i="10"/>
  <c r="C62" i="10"/>
  <c r="G60" i="10"/>
  <c r="I62" i="10"/>
  <c r="J67" i="10"/>
  <c r="L62" i="10"/>
  <c r="N65" i="10"/>
  <c r="F66" i="10"/>
  <c r="O66" i="10"/>
  <c r="O69" i="10"/>
  <c r="L70" i="10"/>
  <c r="F71" i="10"/>
  <c r="J70" i="10"/>
  <c r="D63" i="10"/>
  <c r="E65" i="10"/>
  <c r="L63" i="10"/>
  <c r="J71" i="10"/>
  <c r="D60" i="10"/>
  <c r="K62" i="10"/>
  <c r="O72" i="10"/>
  <c r="O63" i="10"/>
  <c r="M64" i="10"/>
  <c r="N66" i="10"/>
  <c r="H66" i="10"/>
  <c r="C63" i="10"/>
  <c r="J61" i="10"/>
  <c r="H62" i="10"/>
  <c r="E70" i="10"/>
  <c r="K72" i="10"/>
  <c r="E63" i="10"/>
  <c r="O67" i="10"/>
  <c r="H64" i="10"/>
  <c r="E72" i="10"/>
  <c r="AS72" i="10"/>
  <c r="AP69" i="10"/>
  <c r="F70" i="10"/>
  <c r="G65" i="10"/>
  <c r="F61" i="10"/>
  <c r="L61" i="10"/>
  <c r="L65" i="10"/>
  <c r="I72" i="10"/>
  <c r="K64" i="10"/>
  <c r="G68" i="10"/>
  <c r="N64" i="10"/>
  <c r="O71" i="10"/>
  <c r="H70" i="10"/>
  <c r="D65" i="10"/>
  <c r="AS69" i="10"/>
  <c r="N72" i="10"/>
  <c r="L71" i="10"/>
  <c r="I60" i="10"/>
  <c r="I71" i="10"/>
  <c r="C66" i="10"/>
  <c r="I67" i="10"/>
  <c r="E62" i="10"/>
  <c r="F69" i="10"/>
  <c r="N61" i="10"/>
  <c r="E69" i="10"/>
  <c r="J60" i="10"/>
  <c r="C65" i="10"/>
  <c r="D69" i="10"/>
  <c r="M65" i="10"/>
  <c r="G69" i="10"/>
  <c r="O65" i="10"/>
  <c r="E67" i="10"/>
  <c r="I64" i="10"/>
  <c r="AJ66" i="10"/>
  <c r="K70" i="10"/>
  <c r="AM64" i="10"/>
  <c r="O62" i="10"/>
  <c r="D67" i="10"/>
  <c r="I70" i="10"/>
  <c r="H69" i="10"/>
  <c r="F62" i="10"/>
  <c r="E68" i="10"/>
  <c r="N70" i="10"/>
  <c r="M70" i="10"/>
  <c r="I63" i="10"/>
  <c r="M68" i="10"/>
  <c r="C70" i="10"/>
  <c r="C67" i="10"/>
  <c r="F60" i="10"/>
  <c r="F63" i="10"/>
  <c r="N62" i="10"/>
  <c r="AO68" i="10"/>
  <c r="D62" i="10"/>
  <c r="AU61" i="10"/>
  <c r="L68" i="10"/>
  <c r="J68" i="10"/>
  <c r="AQ65" i="10"/>
  <c r="F67" i="10"/>
  <c r="E61" i="10"/>
  <c r="N63" i="10"/>
  <c r="C72" i="10"/>
  <c r="F72" i="10"/>
  <c r="G61" i="10"/>
  <c r="M71" i="10"/>
  <c r="K66" i="10"/>
  <c r="G70" i="10"/>
  <c r="L67" i="10"/>
  <c r="G67" i="10"/>
  <c r="M67" i="10"/>
  <c r="N67" i="10"/>
  <c r="L64" i="10"/>
  <c r="H65" i="10"/>
  <c r="G66" i="10"/>
  <c r="J72" i="10"/>
  <c r="D64" i="10"/>
  <c r="I69" i="10"/>
  <c r="H63" i="10"/>
  <c r="F68" i="10"/>
  <c r="D72" i="10"/>
  <c r="O68" i="10"/>
  <c r="J65" i="10"/>
  <c r="K67" i="10"/>
  <c r="C71" i="10"/>
  <c r="M63" i="10"/>
  <c r="K65" i="10"/>
  <c r="K63" i="10"/>
  <c r="D61" i="10"/>
  <c r="K68" i="10"/>
  <c r="J69" i="10"/>
  <c r="O61" i="10"/>
  <c r="D68" i="10"/>
  <c r="H61" i="10"/>
  <c r="H67" i="10"/>
  <c r="C69" i="10"/>
  <c r="I68" i="10"/>
  <c r="F64" i="10"/>
  <c r="E66" i="10"/>
  <c r="L66" i="10"/>
  <c r="D66" i="10"/>
  <c r="G72" i="10"/>
  <c r="J64" i="10"/>
  <c r="O64" i="10"/>
  <c r="I61" i="10"/>
  <c r="M69" i="10"/>
  <c r="C61" i="10"/>
  <c r="K69" i="10"/>
  <c r="M66" i="10"/>
  <c r="M61" i="10"/>
  <c r="G64" i="10"/>
  <c r="L72" i="10"/>
  <c r="N69" i="10"/>
  <c r="L60" i="10"/>
  <c r="D70" i="10"/>
  <c r="M72" i="10"/>
  <c r="K60" i="10"/>
  <c r="AN62" i="10"/>
  <c r="AL70" i="10"/>
  <c r="AR64" i="10"/>
  <c r="AK71" i="10"/>
  <c r="AP64" i="10"/>
  <c r="AO62" i="10"/>
  <c r="AK68" i="10"/>
  <c r="AU64" i="10"/>
  <c r="AU66" i="10"/>
  <c r="AS68" i="10"/>
  <c r="AN71" i="10"/>
  <c r="AU69" i="10"/>
  <c r="AI71" i="10"/>
  <c r="AR66" i="10"/>
  <c r="AJ64" i="10"/>
  <c r="AR65" i="10"/>
  <c r="AM67" i="10"/>
  <c r="AI65" i="10"/>
  <c r="AK62" i="10"/>
  <c r="AQ68" i="10"/>
  <c r="AT69" i="10"/>
  <c r="AT70" i="10"/>
  <c r="AK60" i="10"/>
  <c r="AL72" i="10"/>
  <c r="AJ61" i="10"/>
  <c r="AK63" i="10"/>
  <c r="AN70" i="10"/>
  <c r="AQ64" i="10"/>
  <c r="AP72" i="10"/>
  <c r="AS67" i="10"/>
  <c r="AQ72" i="10"/>
  <c r="AL61" i="10"/>
  <c r="AQ70" i="10"/>
  <c r="AU65" i="10"/>
  <c r="AM65" i="10"/>
  <c r="AT62" i="10"/>
  <c r="AN67" i="10"/>
  <c r="AR60" i="10"/>
  <c r="AN66" i="10"/>
  <c r="AU67" i="10"/>
  <c r="AU72" i="10"/>
  <c r="AQ67" i="10"/>
  <c r="AP71" i="10"/>
  <c r="AO70" i="10"/>
  <c r="AN61" i="10"/>
  <c r="AQ61" i="10"/>
  <c r="AS70" i="10"/>
  <c r="AU63" i="10"/>
  <c r="AN64" i="10"/>
  <c r="AJ62" i="10"/>
  <c r="AK66" i="10"/>
  <c r="AN72" i="10"/>
  <c r="AP67" i="10"/>
  <c r="AP66" i="10"/>
  <c r="AJ65" i="10"/>
  <c r="AL64" i="10"/>
  <c r="AI64" i="10"/>
  <c r="AP61" i="10"/>
  <c r="AO69" i="10"/>
  <c r="AR63" i="10"/>
  <c r="AP70" i="10"/>
  <c r="AQ63" i="10"/>
  <c r="AO67" i="10"/>
  <c r="AS62" i="10"/>
  <c r="AN60" i="10"/>
  <c r="AS66" i="10"/>
  <c r="AT65" i="10"/>
  <c r="AI70" i="10"/>
  <c r="AL69" i="10"/>
  <c r="AM69" i="10"/>
  <c r="AL71" i="10"/>
  <c r="AT61" i="10"/>
  <c r="AR62" i="10"/>
  <c r="AT68" i="10"/>
  <c r="AP68" i="10"/>
  <c r="AR68" i="10"/>
  <c r="AK72" i="10"/>
  <c r="AQ62" i="10"/>
  <c r="AM66" i="10"/>
  <c r="AS64" i="10"/>
  <c r="AS63" i="10"/>
  <c r="AU70" i="10"/>
  <c r="AR72" i="10"/>
  <c r="AT63" i="10"/>
  <c r="AS71" i="10"/>
  <c r="AM62" i="10"/>
  <c r="AR67" i="10"/>
  <c r="AQ69" i="10"/>
  <c r="AL68" i="10"/>
  <c r="AR69" i="10"/>
  <c r="AK69" i="10"/>
  <c r="AJ69" i="10"/>
  <c r="AU68" i="10"/>
  <c r="AI62" i="10"/>
  <c r="AP60" i="10"/>
  <c r="AK64" i="10"/>
  <c r="AU60" i="10"/>
  <c r="AU71" i="10"/>
  <c r="AO66" i="10"/>
  <c r="AT72" i="10"/>
  <c r="AR61" i="10"/>
  <c r="AK65" i="10"/>
  <c r="AO60" i="10"/>
  <c r="AI72" i="10"/>
  <c r="AJ68" i="10"/>
  <c r="AS61" i="10"/>
  <c r="AM63" i="10"/>
  <c r="AO65" i="10"/>
  <c r="AS60" i="10"/>
  <c r="AQ66" i="10"/>
  <c r="AI69" i="10"/>
  <c r="AI66" i="10"/>
  <c r="AM72" i="10"/>
  <c r="AR70" i="10"/>
  <c r="AR71" i="10"/>
  <c r="AM71" i="10"/>
  <c r="AI61" i="10"/>
  <c r="AJ72" i="10"/>
  <c r="AT64" i="10"/>
  <c r="AT60" i="10"/>
  <c r="AO72" i="10"/>
  <c r="AM61" i="10"/>
  <c r="AO71" i="10"/>
  <c r="AC102" i="10"/>
  <c r="AC49" i="12" s="1"/>
  <c r="U100" i="10"/>
  <c r="U47" i="12" s="1"/>
  <c r="AT67" i="10"/>
  <c r="AM70" i="10"/>
  <c r="AJ63" i="10"/>
  <c r="AL65" i="10"/>
  <c r="AI68" i="10"/>
  <c r="Z105" i="10"/>
  <c r="Z52" i="12" s="1"/>
  <c r="AD105" i="10"/>
  <c r="AD52" i="12" s="1"/>
  <c r="S102" i="10"/>
  <c r="S49" i="12" s="1"/>
  <c r="Y106" i="10"/>
  <c r="Y53" i="12" s="1"/>
  <c r="AL62" i="10"/>
  <c r="AS65" i="10"/>
  <c r="AU62" i="10"/>
  <c r="AQ71" i="10"/>
  <c r="AP65" i="10"/>
  <c r="AM68" i="10"/>
  <c r="AL60" i="10"/>
  <c r="AN63" i="10"/>
  <c r="AI67" i="10"/>
  <c r="AN69" i="10"/>
  <c r="AD104" i="10"/>
  <c r="AD51" i="12" s="1"/>
  <c r="AD100" i="10"/>
  <c r="AD47" i="12" s="1"/>
  <c r="AL63" i="10"/>
  <c r="AK67" i="10"/>
  <c r="AO64" i="10"/>
  <c r="AI63" i="10"/>
  <c r="AL66" i="10"/>
  <c r="AO63" i="10"/>
  <c r="AO61" i="10"/>
  <c r="AN68" i="10"/>
  <c r="AP63" i="10"/>
  <c r="AP62" i="10"/>
  <c r="AB106" i="10"/>
  <c r="AB53" i="12" s="1"/>
  <c r="W100" i="10"/>
  <c r="W47" i="12" s="1"/>
  <c r="AC106" i="10"/>
  <c r="AC53" i="12" s="1"/>
  <c r="AC101" i="10"/>
  <c r="AC48" i="12" s="1"/>
  <c r="AJ70" i="10"/>
  <c r="AJ60" i="10"/>
  <c r="AT71" i="10"/>
  <c r="AJ71" i="10"/>
  <c r="AM60" i="10"/>
  <c r="AN65" i="10"/>
  <c r="AT66" i="10"/>
  <c r="AJ67" i="10"/>
  <c r="AQ60" i="10"/>
  <c r="AK70" i="10"/>
  <c r="AL67" i="10"/>
  <c r="AK61" i="10"/>
  <c r="V104" i="10"/>
  <c r="V51" i="12" s="1"/>
  <c r="X108" i="10"/>
  <c r="X55" i="12" s="1"/>
  <c r="V100" i="10" l="1"/>
  <c r="V47" i="12" s="1"/>
  <c r="T97" i="10"/>
  <c r="T44" i="12" s="1"/>
  <c r="X100" i="10"/>
  <c r="X47" i="12" s="1"/>
  <c r="J103" i="10"/>
  <c r="J50" i="12" s="1"/>
  <c r="O106" i="10"/>
  <c r="O53" i="12" s="1"/>
  <c r="G109" i="10"/>
  <c r="G56" i="12" s="1"/>
  <c r="V102" i="10"/>
  <c r="V49" i="12" s="1"/>
  <c r="H99" i="10"/>
  <c r="H46" i="12" s="1"/>
  <c r="J105" i="10"/>
  <c r="X109" i="10"/>
  <c r="X56" i="12" s="1"/>
  <c r="L106" i="10"/>
  <c r="AA108" i="10"/>
  <c r="AA55" i="12" s="1"/>
  <c r="U109" i="10"/>
  <c r="U56" i="12" s="1"/>
  <c r="D103" i="10"/>
  <c r="D50" i="12" s="1"/>
  <c r="AA106" i="10"/>
  <c r="AA53" i="12" s="1"/>
  <c r="AE99" i="10"/>
  <c r="AE46" i="12" s="1"/>
  <c r="F100" i="10"/>
  <c r="AC103" i="10"/>
  <c r="AC50" i="12" s="1"/>
  <c r="O98" i="10"/>
  <c r="O45" i="12" s="1"/>
  <c r="K106" i="10"/>
  <c r="K53" i="12" s="1"/>
  <c r="D102" i="10"/>
  <c r="D49" i="12" s="1"/>
  <c r="J109" i="10"/>
  <c r="J56" i="12" s="1"/>
  <c r="F103" i="10"/>
  <c r="F50" i="12" s="1"/>
  <c r="L108" i="10"/>
  <c r="L55" i="12" s="1"/>
  <c r="AA103" i="10"/>
  <c r="AA50" i="12" s="1"/>
  <c r="AD107" i="10"/>
  <c r="AD54" i="12" s="1"/>
  <c r="J106" i="10"/>
  <c r="J53" i="12" s="1"/>
  <c r="O108" i="10"/>
  <c r="O55" i="12" s="1"/>
  <c r="J104" i="10"/>
  <c r="J51" i="12" s="1"/>
  <c r="U99" i="10"/>
  <c r="U46" i="12" s="1"/>
  <c r="E104" i="10"/>
  <c r="AC99" i="10"/>
  <c r="AC46" i="12" s="1"/>
  <c r="N100" i="10"/>
  <c r="M99" i="10"/>
  <c r="M46" i="12" s="1"/>
  <c r="C102" i="10"/>
  <c r="W104" i="10"/>
  <c r="W51" i="12" s="1"/>
  <c r="K102" i="10"/>
  <c r="K49" i="12" s="1"/>
  <c r="K97" i="10"/>
  <c r="K44" i="12" s="1"/>
  <c r="L100" i="10"/>
  <c r="L47" i="12" s="1"/>
  <c r="Y100" i="10"/>
  <c r="Y47" i="12" s="1"/>
  <c r="AA101" i="10"/>
  <c r="AA48" i="12" s="1"/>
  <c r="Z99" i="10"/>
  <c r="Z46" i="12" s="1"/>
  <c r="U101" i="10"/>
  <c r="U48" i="12" s="1"/>
  <c r="M106" i="10"/>
  <c r="V103" i="10"/>
  <c r="V50" i="12" s="1"/>
  <c r="N97" i="10"/>
  <c r="N44" i="12" s="1"/>
  <c r="D100" i="10"/>
  <c r="I109" i="10"/>
  <c r="I56" i="12" s="1"/>
  <c r="I108" i="10"/>
  <c r="I55" i="12" s="1"/>
  <c r="K104" i="10"/>
  <c r="K51" i="12" s="1"/>
  <c r="N106" i="10"/>
  <c r="N53" i="12" s="1"/>
  <c r="Y108" i="10"/>
  <c r="Y55" i="12" s="1"/>
  <c r="G100" i="10"/>
  <c r="AD108" i="10"/>
  <c r="AD55" i="12" s="1"/>
  <c r="V107" i="10"/>
  <c r="V54" i="12" s="1"/>
  <c r="AE105" i="10"/>
  <c r="AE52" i="12" s="1"/>
  <c r="J97" i="10"/>
  <c r="J44" i="12" s="1"/>
  <c r="D99" i="10"/>
  <c r="D46" i="12" s="1"/>
  <c r="S109" i="10"/>
  <c r="S56" i="12" s="1"/>
  <c r="X107" i="10"/>
  <c r="X54" i="12" s="1"/>
  <c r="F107" i="10"/>
  <c r="F54" i="12" s="1"/>
  <c r="L105" i="10"/>
  <c r="L52" i="12" s="1"/>
  <c r="L104" i="10"/>
  <c r="L51" i="12" s="1"/>
  <c r="AA105" i="10"/>
  <c r="AA52" i="12" s="1"/>
  <c r="J102" i="10"/>
  <c r="J49" i="12" s="1"/>
  <c r="AE109" i="10"/>
  <c r="AE56" i="12" s="1"/>
  <c r="AE103" i="10"/>
  <c r="AE50" i="12" s="1"/>
  <c r="O100" i="10"/>
  <c r="O47" i="12" s="1"/>
  <c r="T102" i="10"/>
  <c r="T49" i="12" s="1"/>
  <c r="M98" i="10"/>
  <c r="M45" i="12" s="1"/>
  <c r="H109" i="10"/>
  <c r="H56" i="12" s="1"/>
  <c r="K105" i="10"/>
  <c r="K52" i="12" s="1"/>
  <c r="L109" i="10"/>
  <c r="L56" i="12" s="1"/>
  <c r="N99" i="10"/>
  <c r="N46" i="12" s="1"/>
  <c r="N98" i="10"/>
  <c r="N45" i="12" s="1"/>
  <c r="F101" i="10"/>
  <c r="F48" i="12" s="1"/>
  <c r="AE106" i="10"/>
  <c r="AE53" i="12" s="1"/>
  <c r="AD98" i="10"/>
  <c r="AD45" i="12" s="1"/>
  <c r="K100" i="10"/>
  <c r="O101" i="10"/>
  <c r="M97" i="10"/>
  <c r="M44" i="12" s="1"/>
  <c r="W103" i="10"/>
  <c r="W50" i="12" s="1"/>
  <c r="K101" i="10"/>
  <c r="K48" i="12" s="1"/>
  <c r="AC98" i="10"/>
  <c r="AC45" i="12" s="1"/>
  <c r="F109" i="10"/>
  <c r="F56" i="12" s="1"/>
  <c r="M100" i="10"/>
  <c r="M47" i="12" s="1"/>
  <c r="E101" i="10"/>
  <c r="E48" i="12" s="1"/>
  <c r="K103" i="10"/>
  <c r="K50" i="12" s="1"/>
  <c r="Y109" i="10"/>
  <c r="Y56" i="12" s="1"/>
  <c r="I106" i="10"/>
  <c r="Z97" i="10"/>
  <c r="Z44" i="12" s="1"/>
  <c r="Z109" i="10"/>
  <c r="Z56" i="12" s="1"/>
  <c r="W101" i="10"/>
  <c r="W48" i="12" s="1"/>
  <c r="F106" i="10"/>
  <c r="Z103" i="10"/>
  <c r="Z50" i="12" s="1"/>
  <c r="L99" i="10"/>
  <c r="L46" i="12" s="1"/>
  <c r="AC108" i="10"/>
  <c r="AC55" i="12" s="1"/>
  <c r="E109" i="10"/>
  <c r="E56" i="12" s="1"/>
  <c r="O105" i="10"/>
  <c r="O52" i="12" s="1"/>
  <c r="AA107" i="10"/>
  <c r="AA54" i="12" s="1"/>
  <c r="I97" i="10"/>
  <c r="I44" i="12" s="1"/>
  <c r="F105" i="10"/>
  <c r="F52" i="12" s="1"/>
  <c r="H102" i="10"/>
  <c r="H49" i="12" s="1"/>
  <c r="X104" i="10"/>
  <c r="X51" i="12" s="1"/>
  <c r="E103" i="10"/>
  <c r="E50" i="12" s="1"/>
  <c r="I103" i="10"/>
  <c r="I50" i="12" s="1"/>
  <c r="AA104" i="10"/>
  <c r="AA51" i="12" s="1"/>
  <c r="AE97" i="10"/>
  <c r="AE44" i="12" s="1"/>
  <c r="AE98" i="10"/>
  <c r="AE45" i="12" s="1"/>
  <c r="O107" i="10"/>
  <c r="O54" i="12" s="1"/>
  <c r="W109" i="10"/>
  <c r="W56" i="12" s="1"/>
  <c r="U102" i="10"/>
  <c r="U49" i="12" s="1"/>
  <c r="S108" i="10"/>
  <c r="S55" i="12" s="1"/>
  <c r="AB108" i="10"/>
  <c r="AB55" i="12" s="1"/>
  <c r="S107" i="10"/>
  <c r="S54" i="12" s="1"/>
  <c r="AB101" i="10"/>
  <c r="AB48" i="12" s="1"/>
  <c r="AB100" i="10"/>
  <c r="AB47" i="12" s="1"/>
  <c r="N103" i="10"/>
  <c r="N50" i="12" s="1"/>
  <c r="S100" i="10"/>
  <c r="S47" i="12" s="1"/>
  <c r="E107" i="10"/>
  <c r="E54" i="12" s="1"/>
  <c r="M108" i="10"/>
  <c r="M55" i="12" s="1"/>
  <c r="M105" i="10"/>
  <c r="L107" i="10"/>
  <c r="L54" i="12" s="1"/>
  <c r="S105" i="10"/>
  <c r="S52" i="12" s="1"/>
  <c r="J100" i="10"/>
  <c r="J47" i="12" s="1"/>
  <c r="AC109" i="10"/>
  <c r="AC56" i="12" s="1"/>
  <c r="N105" i="10"/>
  <c r="C107" i="10"/>
  <c r="AB97" i="10"/>
  <c r="AB44" i="12" s="1"/>
  <c r="O102" i="10"/>
  <c r="O49" i="12" s="1"/>
  <c r="AC105" i="10"/>
  <c r="AC52" i="12" s="1"/>
  <c r="T105" i="10"/>
  <c r="T52" i="12" s="1"/>
  <c r="I105" i="10"/>
  <c r="I52" i="12" s="1"/>
  <c r="N104" i="10"/>
  <c r="N109" i="10"/>
  <c r="N56" i="12" s="1"/>
  <c r="X102" i="10"/>
  <c r="X49" i="12" s="1"/>
  <c r="D104" i="10"/>
  <c r="D51" i="12" s="1"/>
  <c r="N108" i="10"/>
  <c r="N55" i="12" s="1"/>
  <c r="T103" i="10"/>
  <c r="T50" i="12" s="1"/>
  <c r="E108" i="10"/>
  <c r="E55" i="12" s="1"/>
  <c r="L101" i="10"/>
  <c r="L48" i="12" s="1"/>
  <c r="H108" i="10"/>
  <c r="J99" i="10"/>
  <c r="J46" i="12" s="1"/>
  <c r="AD102" i="10"/>
  <c r="AD49" i="12" s="1"/>
  <c r="T108" i="10"/>
  <c r="T55" i="12" s="1"/>
  <c r="E100" i="10"/>
  <c r="U107" i="10"/>
  <c r="U54" i="12" s="1"/>
  <c r="AD109" i="10"/>
  <c r="AD56" i="12" s="1"/>
  <c r="W107" i="10"/>
  <c r="W54" i="12" s="1"/>
  <c r="O103" i="10"/>
  <c r="O50" i="12" s="1"/>
  <c r="M109" i="10"/>
  <c r="M56" i="12" s="1"/>
  <c r="C103" i="10"/>
  <c r="C50" i="12" s="1"/>
  <c r="O104" i="10"/>
  <c r="O51" i="12" s="1"/>
  <c r="AB102" i="10"/>
  <c r="AB49" i="12" s="1"/>
  <c r="D109" i="10"/>
  <c r="D56" i="12" s="1"/>
  <c r="E106" i="10"/>
  <c r="E53" i="12" s="1"/>
  <c r="V98" i="10"/>
  <c r="V45" i="12" s="1"/>
  <c r="J101" i="10"/>
  <c r="AA98" i="10"/>
  <c r="AA45" i="12" s="1"/>
  <c r="G102" i="10"/>
  <c r="D108" i="10"/>
  <c r="W106" i="10"/>
  <c r="W53" i="12" s="1"/>
  <c r="AB98" i="10"/>
  <c r="AB45" i="12" s="1"/>
  <c r="W99" i="10"/>
  <c r="W46" i="12" s="1"/>
  <c r="X103" i="10"/>
  <c r="X50" i="12" s="1"/>
  <c r="T106" i="10"/>
  <c r="T53" i="12" s="1"/>
  <c r="C109" i="10"/>
  <c r="C56" i="12" s="1"/>
  <c r="V97" i="10"/>
  <c r="V44" i="12" s="1"/>
  <c r="G104" i="10"/>
  <c r="G108" i="10"/>
  <c r="G55" i="12" s="1"/>
  <c r="G107" i="10"/>
  <c r="I107" i="10"/>
  <c r="I54" i="12" s="1"/>
  <c r="T99" i="10"/>
  <c r="T46" i="12" s="1"/>
  <c r="X99" i="10"/>
  <c r="X46" i="12" s="1"/>
  <c r="AD106" i="10"/>
  <c r="AD53" i="12" s="1"/>
  <c r="C108" i="10"/>
  <c r="C55" i="12" s="1"/>
  <c r="T101" i="10"/>
  <c r="T48" i="12" s="1"/>
  <c r="C100" i="10"/>
  <c r="C47" i="12" s="1"/>
  <c r="W102" i="10"/>
  <c r="W49" i="12" s="1"/>
  <c r="V108" i="10"/>
  <c r="V55" i="12" s="1"/>
  <c r="AA100" i="10"/>
  <c r="AA47" i="12" s="1"/>
  <c r="M104" i="10"/>
  <c r="M51" i="12" s="1"/>
  <c r="S106" i="10"/>
  <c r="S53" i="12" s="1"/>
  <c r="Y103" i="10"/>
  <c r="Y50" i="12" s="1"/>
  <c r="Y97" i="10"/>
  <c r="Y44" i="12" s="1"/>
  <c r="X105" i="10"/>
  <c r="X52" i="12" s="1"/>
  <c r="Y104" i="10"/>
  <c r="Y51" i="12" s="1"/>
  <c r="V109" i="10"/>
  <c r="V56" i="12" s="1"/>
  <c r="Z98" i="10"/>
  <c r="Z45" i="12" s="1"/>
  <c r="C101" i="10"/>
  <c r="C48" i="12" s="1"/>
  <c r="D101" i="10"/>
  <c r="D48" i="12" s="1"/>
  <c r="D105" i="10"/>
  <c r="C105" i="10"/>
  <c r="C52" i="12" s="1"/>
  <c r="S99" i="10"/>
  <c r="S46" i="12" s="1"/>
  <c r="F104" i="10"/>
  <c r="F102" i="10"/>
  <c r="F49" i="12" s="1"/>
  <c r="Z101" i="10"/>
  <c r="Z48" i="12" s="1"/>
  <c r="M102" i="10"/>
  <c r="S101" i="10"/>
  <c r="S48" i="12" s="1"/>
  <c r="S97" i="10"/>
  <c r="S44" i="12" s="1"/>
  <c r="AB105" i="10"/>
  <c r="AB52" i="12" s="1"/>
  <c r="H103" i="10"/>
  <c r="H50" i="12" s="1"/>
  <c r="W105" i="10"/>
  <c r="W52" i="12" s="1"/>
  <c r="H98" i="10"/>
  <c r="H45" i="12" s="1"/>
  <c r="H97" i="10"/>
  <c r="H44" i="12" s="1"/>
  <c r="AD99" i="10"/>
  <c r="AD46" i="12" s="1"/>
  <c r="U98" i="10"/>
  <c r="U45" i="12" s="1"/>
  <c r="D107" i="10"/>
  <c r="W108" i="10"/>
  <c r="W55" i="12" s="1"/>
  <c r="AB103" i="10"/>
  <c r="AB50" i="12" s="1"/>
  <c r="I101" i="10"/>
  <c r="I48" i="12" s="1"/>
  <c r="T104" i="10"/>
  <c r="T51" i="12" s="1"/>
  <c r="N107" i="10"/>
  <c r="N54" i="12" s="1"/>
  <c r="J108" i="10"/>
  <c r="J55" i="12" s="1"/>
  <c r="S98" i="10"/>
  <c r="S45" i="12" s="1"/>
  <c r="AC100" i="10"/>
  <c r="AC47" i="12" s="1"/>
  <c r="AE107" i="10"/>
  <c r="AE54" i="12" s="1"/>
  <c r="X97" i="10"/>
  <c r="X44" i="12" s="1"/>
  <c r="S104" i="10"/>
  <c r="S51" i="12" s="1"/>
  <c r="C104" i="10"/>
  <c r="C51" i="12" s="1"/>
  <c r="T109" i="10"/>
  <c r="T56" i="12" s="1"/>
  <c r="I100" i="10"/>
  <c r="I47" i="12" s="1"/>
  <c r="AC104" i="10"/>
  <c r="AC51" i="12" s="1"/>
  <c r="J98" i="10"/>
  <c r="AC107" i="10"/>
  <c r="AC54" i="12" s="1"/>
  <c r="AB109" i="10"/>
  <c r="AB56" i="12" s="1"/>
  <c r="G97" i="10"/>
  <c r="G44" i="12" s="1"/>
  <c r="G98" i="10"/>
  <c r="G45" i="12" s="1"/>
  <c r="N101" i="10"/>
  <c r="N48" i="12" s="1"/>
  <c r="U103" i="10"/>
  <c r="U50" i="12" s="1"/>
  <c r="AE108" i="10"/>
  <c r="AE55" i="12" s="1"/>
  <c r="S103" i="10"/>
  <c r="S50" i="12" s="1"/>
  <c r="Y107" i="10"/>
  <c r="Y54" i="12" s="1"/>
  <c r="T98" i="10"/>
  <c r="T45" i="12" s="1"/>
  <c r="E99" i="10"/>
  <c r="E46" i="12" s="1"/>
  <c r="K107" i="10"/>
  <c r="K54" i="12" s="1"/>
  <c r="U97" i="10"/>
  <c r="U44" i="12" s="1"/>
  <c r="E102" i="10"/>
  <c r="E49" i="12" s="1"/>
  <c r="E97" i="10"/>
  <c r="E98" i="10"/>
  <c r="E45" i="12" s="1"/>
  <c r="AA109" i="10"/>
  <c r="AA56" i="12" s="1"/>
  <c r="K109" i="10"/>
  <c r="K56" i="12" s="1"/>
  <c r="K99" i="10"/>
  <c r="K46" i="12" s="1"/>
  <c r="N102" i="10"/>
  <c r="N49" i="12" s="1"/>
  <c r="T107" i="10"/>
  <c r="T54" i="12" s="1"/>
  <c r="M107" i="10"/>
  <c r="M54" i="12" s="1"/>
  <c r="I99" i="10"/>
  <c r="I46" i="12" s="1"/>
  <c r="I98" i="10"/>
  <c r="I45" i="12" s="1"/>
  <c r="G105" i="10"/>
  <c r="G52" i="12" s="1"/>
  <c r="AB104" i="10"/>
  <c r="AB51" i="12" s="1"/>
  <c r="V99" i="10"/>
  <c r="V46" i="12" s="1"/>
  <c r="U105" i="10"/>
  <c r="U52" i="12" s="1"/>
  <c r="G101" i="10"/>
  <c r="G48" i="12" s="1"/>
  <c r="G106" i="10"/>
  <c r="H106" i="10"/>
  <c r="H53" i="12" s="1"/>
  <c r="U108" i="10"/>
  <c r="U55" i="12" s="1"/>
  <c r="W97" i="10"/>
  <c r="W44" i="12" s="1"/>
  <c r="V106" i="10"/>
  <c r="V53" i="12" s="1"/>
  <c r="Z102" i="10"/>
  <c r="Z49" i="12" s="1"/>
  <c r="C97" i="10"/>
  <c r="C44" i="12" s="1"/>
  <c r="M103" i="10"/>
  <c r="X98" i="10"/>
  <c r="X45" i="12" s="1"/>
  <c r="O97" i="10"/>
  <c r="O44" i="12" s="1"/>
  <c r="Z100" i="10"/>
  <c r="Z47" i="12" s="1"/>
  <c r="L102" i="10"/>
  <c r="L49" i="12" s="1"/>
  <c r="F99" i="10"/>
  <c r="F46" i="12" s="1"/>
  <c r="H104" i="10"/>
  <c r="H51" i="12" s="1"/>
  <c r="AB107" i="10"/>
  <c r="AB54" i="12" s="1"/>
  <c r="I102" i="10"/>
  <c r="I49" i="12" s="1"/>
  <c r="F98" i="10"/>
  <c r="F45" i="12" s="1"/>
  <c r="F108" i="10"/>
  <c r="V101" i="10"/>
  <c r="V48" i="12" s="1"/>
  <c r="U106" i="10"/>
  <c r="U53" i="12" s="1"/>
  <c r="Y105" i="10"/>
  <c r="Y52" i="12" s="1"/>
  <c r="AA97" i="10"/>
  <c r="AA44" i="12" s="1"/>
  <c r="AA102" i="10"/>
  <c r="AA49" i="12" s="1"/>
  <c r="W98" i="10"/>
  <c r="W45" i="12" s="1"/>
  <c r="U104" i="10"/>
  <c r="U51" i="12" s="1"/>
  <c r="Z108" i="10"/>
  <c r="Z55" i="12" s="1"/>
  <c r="V105" i="10"/>
  <c r="V52" i="12" s="1"/>
  <c r="O99" i="10"/>
  <c r="O46" i="12" s="1"/>
  <c r="D97" i="10"/>
  <c r="H105" i="10"/>
  <c r="H52" i="12" s="1"/>
  <c r="AE100" i="10"/>
  <c r="AE47" i="12" s="1"/>
  <c r="I104" i="10"/>
  <c r="I51" i="12" s="1"/>
  <c r="X101" i="10"/>
  <c r="X48" i="12" s="1"/>
  <c r="F97" i="10"/>
  <c r="L98" i="10"/>
  <c r="L97" i="10"/>
  <c r="Z104" i="10"/>
  <c r="Z51" i="12" s="1"/>
  <c r="AE104" i="10"/>
  <c r="AE51" i="12" s="1"/>
  <c r="AA99" i="10"/>
  <c r="AA46" i="12" s="1"/>
  <c r="H100" i="10"/>
  <c r="H47" i="12" s="1"/>
  <c r="O109" i="10"/>
  <c r="AD97" i="10"/>
  <c r="AD44" i="12" s="1"/>
  <c r="AC97" i="10"/>
  <c r="AC44" i="12" s="1"/>
  <c r="K108" i="10"/>
  <c r="K55" i="12" s="1"/>
  <c r="C106" i="10"/>
  <c r="D106" i="10"/>
  <c r="D53" i="12" s="1"/>
  <c r="Y102" i="10"/>
  <c r="Y49" i="12" s="1"/>
  <c r="C98" i="10"/>
  <c r="C45" i="12" s="1"/>
  <c r="C99" i="10"/>
  <c r="X106" i="10"/>
  <c r="X53" i="12" s="1"/>
  <c r="AB99" i="10"/>
  <c r="AB46" i="12" s="1"/>
  <c r="Y98" i="10"/>
  <c r="Y45" i="12" s="1"/>
  <c r="AE102" i="10"/>
  <c r="AE49" i="12" s="1"/>
  <c r="K98" i="10"/>
  <c r="K45" i="12" s="1"/>
  <c r="AE101" i="10"/>
  <c r="AE48" i="12" s="1"/>
  <c r="H107" i="10"/>
  <c r="H54" i="12" s="1"/>
  <c r="J107" i="10"/>
  <c r="J54" i="12" s="1"/>
  <c r="Z107" i="10"/>
  <c r="Z54" i="12" s="1"/>
  <c r="AD103" i="10"/>
  <c r="AD50" i="12" s="1"/>
  <c r="E105" i="10"/>
  <c r="E52" i="12" s="1"/>
  <c r="G99" i="10"/>
  <c r="AD101" i="10"/>
  <c r="AD48" i="12" s="1"/>
  <c r="T100" i="10"/>
  <c r="T47" i="12" s="1"/>
  <c r="M101" i="10"/>
  <c r="H101" i="10"/>
  <c r="H48" i="12" s="1"/>
  <c r="Y101" i="10"/>
  <c r="Y48" i="12" s="1"/>
  <c r="Z106" i="10"/>
  <c r="Z53" i="12" s="1"/>
  <c r="G103" i="10"/>
  <c r="G50" i="12" s="1"/>
  <c r="Y99" i="10"/>
  <c r="Y46" i="12" s="1"/>
  <c r="L103" i="10"/>
  <c r="L50" i="12" s="1"/>
  <c r="D98" i="10"/>
  <c r="D45" i="12" s="1"/>
  <c r="G121" i="10" l="1"/>
  <c r="G66" i="12" s="1"/>
  <c r="G49" i="12"/>
  <c r="E116" i="10"/>
  <c r="E61" i="12" s="1"/>
  <c r="E44" i="12"/>
  <c r="F119" i="10"/>
  <c r="F64" i="12" s="1"/>
  <c r="F47" i="12"/>
  <c r="C125" i="10"/>
  <c r="C70" i="12" s="1"/>
  <c r="C53" i="12"/>
  <c r="C121" i="10"/>
  <c r="C66" i="12" s="1"/>
  <c r="C49" i="12"/>
  <c r="F123" i="10"/>
  <c r="F68" i="12" s="1"/>
  <c r="F51" i="12"/>
  <c r="F125" i="10"/>
  <c r="F70" i="12" s="1"/>
  <c r="F53" i="12"/>
  <c r="G118" i="10"/>
  <c r="G63" i="12" s="1"/>
  <c r="G46" i="12"/>
  <c r="G125" i="10"/>
  <c r="G70" i="12" s="1"/>
  <c r="G53" i="12"/>
  <c r="G119" i="10"/>
  <c r="G64" i="12" s="1"/>
  <c r="G47" i="12"/>
  <c r="D124" i="10"/>
  <c r="D69" i="12" s="1"/>
  <c r="D52" i="12"/>
  <c r="G126" i="10"/>
  <c r="G71" i="12" s="1"/>
  <c r="G54" i="12"/>
  <c r="E123" i="10"/>
  <c r="E68" i="12" s="1"/>
  <c r="E51" i="12"/>
  <c r="G123" i="10"/>
  <c r="G68" i="12" s="1"/>
  <c r="G51" i="12"/>
  <c r="F127" i="10"/>
  <c r="F72" i="12" s="1"/>
  <c r="F55" i="12"/>
  <c r="C126" i="10"/>
  <c r="C71" i="12" s="1"/>
  <c r="C54" i="12"/>
  <c r="D126" i="10"/>
  <c r="D71" i="12" s="1"/>
  <c r="D54" i="12"/>
  <c r="F116" i="10"/>
  <c r="F61" i="12" s="1"/>
  <c r="F44" i="12"/>
  <c r="D119" i="10"/>
  <c r="D64" i="12" s="1"/>
  <c r="D47" i="12"/>
  <c r="E119" i="10"/>
  <c r="E64" i="12" s="1"/>
  <c r="E47" i="12"/>
  <c r="C118" i="10"/>
  <c r="C63" i="12" s="1"/>
  <c r="C46" i="12"/>
  <c r="D116" i="10"/>
  <c r="D61" i="12" s="1"/>
  <c r="D44" i="12"/>
  <c r="D127" i="10"/>
  <c r="D72" i="12" s="1"/>
  <c r="D55" i="12"/>
  <c r="L117" i="10"/>
  <c r="L62" i="12" s="1"/>
  <c r="L45" i="12"/>
  <c r="J117" i="10"/>
  <c r="J62" i="12" s="1"/>
  <c r="J45" i="12"/>
  <c r="O120" i="10"/>
  <c r="O65" i="12" s="1"/>
  <c r="O48" i="12"/>
  <c r="N124" i="10"/>
  <c r="N69" i="12" s="1"/>
  <c r="N52" i="12"/>
  <c r="K119" i="10"/>
  <c r="K64" i="12" s="1"/>
  <c r="K47" i="12"/>
  <c r="J120" i="10"/>
  <c r="J65" i="12" s="1"/>
  <c r="J48" i="12"/>
  <c r="H127" i="10"/>
  <c r="H72" i="12" s="1"/>
  <c r="H55" i="12"/>
  <c r="M120" i="10"/>
  <c r="M65" i="12" s="1"/>
  <c r="M48" i="12"/>
  <c r="M125" i="10"/>
  <c r="M70" i="12" s="1"/>
  <c r="M53" i="12"/>
  <c r="L125" i="10"/>
  <c r="L70" i="12" s="1"/>
  <c r="L53" i="12"/>
  <c r="AF57" i="12"/>
  <c r="AG58" i="12" s="1"/>
  <c r="M124" i="10"/>
  <c r="M69" i="12" s="1"/>
  <c r="M52" i="12"/>
  <c r="I125" i="10"/>
  <c r="I70" i="12" s="1"/>
  <c r="I53" i="12"/>
  <c r="J124" i="10"/>
  <c r="J69" i="12" s="1"/>
  <c r="J52" i="12"/>
  <c r="O128" i="10"/>
  <c r="O73" i="12" s="1"/>
  <c r="O56" i="12"/>
  <c r="M121" i="10"/>
  <c r="M66" i="12" s="1"/>
  <c r="M49" i="12"/>
  <c r="N123" i="10"/>
  <c r="N68" i="12" s="1"/>
  <c r="N51" i="12"/>
  <c r="M122" i="10"/>
  <c r="M67" i="12" s="1"/>
  <c r="M50" i="12"/>
  <c r="L116" i="10"/>
  <c r="L61" i="12" s="1"/>
  <c r="L44" i="12"/>
  <c r="N119" i="10"/>
  <c r="N64" i="12" s="1"/>
  <c r="N47" i="12"/>
  <c r="N127" i="10"/>
  <c r="N72" i="12" s="1"/>
  <c r="L120" i="10"/>
  <c r="L65" i="12" s="1"/>
  <c r="K126" i="10"/>
  <c r="K71" i="12" s="1"/>
  <c r="D125" i="10"/>
  <c r="D70" i="12" s="1"/>
  <c r="H124" i="10"/>
  <c r="H69" i="12" s="1"/>
  <c r="H123" i="10"/>
  <c r="H68" i="12" s="1"/>
  <c r="O123" i="10"/>
  <c r="O68" i="12" s="1"/>
  <c r="H122" i="10"/>
  <c r="H67" i="12" s="1"/>
  <c r="D123" i="10"/>
  <c r="D68" i="12" s="1"/>
  <c r="E117" i="10"/>
  <c r="E62" i="12" s="1"/>
  <c r="I122" i="10"/>
  <c r="I67" i="12" s="1"/>
  <c r="L122" i="10"/>
  <c r="L67" i="12" s="1"/>
  <c r="E122" i="10"/>
  <c r="E67" i="12" s="1"/>
  <c r="O122" i="10"/>
  <c r="O67" i="12" s="1"/>
  <c r="I118" i="10"/>
  <c r="I63" i="12" s="1"/>
  <c r="C117" i="10"/>
  <c r="C62" i="12" s="1"/>
  <c r="I121" i="10"/>
  <c r="I66" i="12" s="1"/>
  <c r="F126" i="10"/>
  <c r="F71" i="12" s="1"/>
  <c r="L128" i="10"/>
  <c r="L73" i="12" s="1"/>
  <c r="E126" i="10"/>
  <c r="E71" i="12" s="1"/>
  <c r="L127" i="10"/>
  <c r="L72" i="12" s="1"/>
  <c r="I128" i="10"/>
  <c r="I73" i="12" s="1"/>
  <c r="J118" i="10"/>
  <c r="J63" i="12" s="1"/>
  <c r="J123" i="10"/>
  <c r="J68" i="12" s="1"/>
  <c r="N128" i="10"/>
  <c r="N73" i="12" s="1"/>
  <c r="L119" i="10"/>
  <c r="L64" i="12" s="1"/>
  <c r="G122" i="10"/>
  <c r="G67" i="12" s="1"/>
  <c r="L123" i="10"/>
  <c r="L68" i="12" s="1"/>
  <c r="F117" i="10"/>
  <c r="F62" i="12" s="1"/>
  <c r="I119" i="10"/>
  <c r="I64" i="12" s="1"/>
  <c r="C120" i="10"/>
  <c r="C65" i="12" s="1"/>
  <c r="O126" i="10"/>
  <c r="O71" i="12" s="1"/>
  <c r="L124" i="10"/>
  <c r="L69" i="12" s="1"/>
  <c r="N116" i="10"/>
  <c r="N61" i="12" s="1"/>
  <c r="D122" i="10"/>
  <c r="D67" i="12" s="1"/>
  <c r="I123" i="10"/>
  <c r="I68" i="12" s="1"/>
  <c r="H116" i="10"/>
  <c r="H61" i="12" s="1"/>
  <c r="J119" i="10"/>
  <c r="J64" i="12" s="1"/>
  <c r="H117" i="10"/>
  <c r="H62" i="12" s="1"/>
  <c r="I126" i="10"/>
  <c r="I71" i="12" s="1"/>
  <c r="H119" i="10"/>
  <c r="H64" i="12" s="1"/>
  <c r="O127" i="10"/>
  <c r="O72" i="12" s="1"/>
  <c r="G120" i="10"/>
  <c r="G65" i="12" s="1"/>
  <c r="C123" i="10"/>
  <c r="C68" i="12" s="1"/>
  <c r="H120" i="10"/>
  <c r="H65" i="12" s="1"/>
  <c r="D120" i="10"/>
  <c r="D65" i="12" s="1"/>
  <c r="E125" i="10"/>
  <c r="E70" i="12" s="1"/>
  <c r="M126" i="10"/>
  <c r="M71" i="12" s="1"/>
  <c r="C127" i="10"/>
  <c r="C72" i="12" s="1"/>
  <c r="M127" i="10"/>
  <c r="M72" i="12" s="1"/>
  <c r="G127" i="10"/>
  <c r="G72" i="12" s="1"/>
  <c r="I117" i="10"/>
  <c r="I62" i="12" s="1"/>
  <c r="M117" i="10"/>
  <c r="M62" i="12" s="1"/>
  <c r="G116" i="10"/>
  <c r="G61" i="12" s="1"/>
  <c r="K128" i="10"/>
  <c r="K73" i="12" s="1"/>
  <c r="K118" i="10"/>
  <c r="K63" i="12" s="1"/>
  <c r="I127" i="10"/>
  <c r="I72" i="12" s="1"/>
  <c r="J125" i="10"/>
  <c r="J70" i="12" s="1"/>
  <c r="O118" i="10"/>
  <c r="O63" i="12" s="1"/>
  <c r="C122" i="10"/>
  <c r="C67" i="12" s="1"/>
  <c r="K122" i="10"/>
  <c r="K67" i="12" s="1"/>
  <c r="K124" i="10"/>
  <c r="K69" i="12" s="1"/>
  <c r="H118" i="10"/>
  <c r="H63" i="12" s="1"/>
  <c r="H125" i="10"/>
  <c r="H70" i="12" s="1"/>
  <c r="E118" i="10"/>
  <c r="E63" i="12" s="1"/>
  <c r="F118" i="10"/>
  <c r="F63" i="12" s="1"/>
  <c r="E124" i="10"/>
  <c r="E69" i="12" s="1"/>
  <c r="G124" i="10"/>
  <c r="G69" i="12" s="1"/>
  <c r="M128" i="10"/>
  <c r="M73" i="12" s="1"/>
  <c r="H128" i="10"/>
  <c r="H73" i="12" s="1"/>
  <c r="F122" i="10"/>
  <c r="F67" i="12" s="1"/>
  <c r="J126" i="10"/>
  <c r="J71" i="12" s="1"/>
  <c r="N122" i="10"/>
  <c r="N67" i="12" s="1"/>
  <c r="M119" i="10"/>
  <c r="M64" i="12" s="1"/>
  <c r="K116" i="10"/>
  <c r="K61" i="12" s="1"/>
  <c r="G128" i="10"/>
  <c r="G73" i="12" s="1"/>
  <c r="N120" i="10"/>
  <c r="N65" i="12" s="1"/>
  <c r="N126" i="10"/>
  <c r="N71" i="12" s="1"/>
  <c r="I124" i="10"/>
  <c r="I69" i="12" s="1"/>
  <c r="F128" i="10"/>
  <c r="F73" i="12" s="1"/>
  <c r="K121" i="10"/>
  <c r="K66" i="12" s="1"/>
  <c r="D121" i="10"/>
  <c r="D66" i="12" s="1"/>
  <c r="O125" i="10"/>
  <c r="O70" i="12" s="1"/>
  <c r="L118" i="10"/>
  <c r="L63" i="12" s="1"/>
  <c r="L121" i="10"/>
  <c r="L66" i="12" s="1"/>
  <c r="H121" i="10"/>
  <c r="H66" i="12" s="1"/>
  <c r="J127" i="10"/>
  <c r="J72" i="12" s="1"/>
  <c r="M123" i="10"/>
  <c r="M68" i="12" s="1"/>
  <c r="F124" i="10"/>
  <c r="F69" i="12" s="1"/>
  <c r="J128" i="10"/>
  <c r="J73" i="12" s="1"/>
  <c r="H126" i="10"/>
  <c r="H71" i="12" s="1"/>
  <c r="N121" i="10"/>
  <c r="N66" i="12" s="1"/>
  <c r="F121" i="10"/>
  <c r="F66" i="12" s="1"/>
  <c r="O119" i="10"/>
  <c r="O64" i="12" s="1"/>
  <c r="K125" i="10"/>
  <c r="K70" i="12" s="1"/>
  <c r="J122" i="10"/>
  <c r="J67" i="12" s="1"/>
  <c r="N118" i="10"/>
  <c r="N63" i="12" s="1"/>
  <c r="I120" i="10"/>
  <c r="I65" i="12" s="1"/>
  <c r="O124" i="10"/>
  <c r="O69" i="12" s="1"/>
  <c r="K120" i="10"/>
  <c r="K65" i="12" s="1"/>
  <c r="N125" i="10"/>
  <c r="N70" i="12" s="1"/>
  <c r="F120" i="10"/>
  <c r="F65" i="12" s="1"/>
  <c r="L126" i="10"/>
  <c r="L71" i="12" s="1"/>
  <c r="K127" i="10"/>
  <c r="K72" i="12" s="1"/>
  <c r="O121" i="10"/>
  <c r="O66" i="12" s="1"/>
  <c r="E128" i="10"/>
  <c r="E73" i="12" s="1"/>
  <c r="K123" i="10"/>
  <c r="K68" i="12" s="1"/>
  <c r="M118" i="10"/>
  <c r="M63" i="12" s="1"/>
  <c r="E121" i="10"/>
  <c r="E66" i="12" s="1"/>
  <c r="E127" i="10"/>
  <c r="E72" i="12" s="1"/>
  <c r="E120" i="10"/>
  <c r="E65" i="12" s="1"/>
  <c r="J121" i="10"/>
  <c r="J66" i="12" s="1"/>
  <c r="G117" i="10"/>
  <c r="G62" i="12" s="1"/>
  <c r="K117" i="10"/>
  <c r="K62" i="12" s="1"/>
  <c r="O117" i="10"/>
  <c r="O62" i="12" s="1"/>
  <c r="N117" i="10"/>
  <c r="N62" i="12" s="1"/>
  <c r="O116" i="10"/>
  <c r="O61" i="12" s="1"/>
  <c r="J116" i="10"/>
  <c r="J61" i="12" s="1"/>
  <c r="I116" i="10"/>
  <c r="I61" i="12" s="1"/>
  <c r="M116" i="10"/>
  <c r="M61" i="12" s="1"/>
  <c r="D118" i="10"/>
  <c r="D63" i="12" s="1"/>
  <c r="C128" i="10"/>
  <c r="C73" i="12" s="1"/>
  <c r="D128" i="10"/>
  <c r="D73" i="12" s="1"/>
  <c r="C119" i="10"/>
  <c r="C64" i="12" s="1"/>
  <c r="C124" i="10"/>
  <c r="C69" i="12" s="1"/>
  <c r="C116" i="10"/>
  <c r="C61" i="12" s="1"/>
  <c r="D117" i="10"/>
  <c r="D62" i="12" s="1"/>
  <c r="P57" i="12" l="1"/>
  <c r="Q58" i="12" s="1"/>
  <c r="P74" i="12"/>
  <c r="Q75" i="12" s="1"/>
  <c r="C131" i="10"/>
  <c r="L131" i="10" s="1"/>
  <c r="D131" i="10"/>
  <c r="E131" i="10" l="1"/>
  <c r="K131" i="10" s="1"/>
  <c r="Y128" i="10" s="1"/>
  <c r="Y73" i="12" s="1"/>
  <c r="Y120" i="10" l="1"/>
  <c r="Y65" i="12" s="1"/>
  <c r="Z118" i="10"/>
  <c r="Z63" i="12" s="1"/>
  <c r="AD117" i="10"/>
  <c r="AD62" i="12" s="1"/>
  <c r="AC119" i="10"/>
  <c r="AC64" i="12" s="1"/>
  <c r="AD118" i="10"/>
  <c r="AD63" i="12" s="1"/>
  <c r="W124" i="10"/>
  <c r="W69" i="12" s="1"/>
  <c r="W118" i="10"/>
  <c r="W63" i="12" s="1"/>
  <c r="AD120" i="10"/>
  <c r="AD65" i="12" s="1"/>
  <c r="X118" i="10"/>
  <c r="X63" i="12" s="1"/>
  <c r="AC123" i="10"/>
  <c r="AC68" i="12" s="1"/>
  <c r="Y123" i="10"/>
  <c r="Y68" i="12" s="1"/>
  <c r="AB120" i="10"/>
  <c r="AB65" i="12" s="1"/>
  <c r="Y118" i="10"/>
  <c r="Y63" i="12" s="1"/>
  <c r="W126" i="10"/>
  <c r="W71" i="12" s="1"/>
  <c r="AD122" i="10"/>
  <c r="AD67" i="12" s="1"/>
  <c r="T120" i="10"/>
  <c r="T65" i="12" s="1"/>
  <c r="W123" i="10"/>
  <c r="W68" i="12" s="1"/>
  <c r="S123" i="10"/>
  <c r="S68" i="12" s="1"/>
  <c r="AC128" i="10"/>
  <c r="AC73" i="12" s="1"/>
  <c r="W127" i="10"/>
  <c r="W72" i="12" s="1"/>
  <c r="AC120" i="10"/>
  <c r="AC65" i="12" s="1"/>
  <c r="V117" i="10"/>
  <c r="V62" i="12" s="1"/>
  <c r="Z116" i="10"/>
  <c r="Z61" i="12" s="1"/>
  <c r="AB124" i="10"/>
  <c r="AB69" i="12" s="1"/>
  <c r="AD119" i="10"/>
  <c r="AD64" i="12" s="1"/>
  <c r="AE128" i="10"/>
  <c r="AE73" i="12" s="1"/>
  <c r="S127" i="10"/>
  <c r="S72" i="12" s="1"/>
  <c r="W128" i="10"/>
  <c r="W73" i="12" s="1"/>
  <c r="AB128" i="10"/>
  <c r="AB73" i="12" s="1"/>
  <c r="AA117" i="10"/>
  <c r="AA62" i="12" s="1"/>
  <c r="Z125" i="10"/>
  <c r="Z70" i="12" s="1"/>
  <c r="U128" i="10"/>
  <c r="U73" i="12" s="1"/>
  <c r="AD116" i="10"/>
  <c r="AD61" i="12" s="1"/>
  <c r="AE117" i="10"/>
  <c r="AE62" i="12" s="1"/>
  <c r="S122" i="10"/>
  <c r="S67" i="12" s="1"/>
  <c r="X117" i="10"/>
  <c r="X62" i="12" s="1"/>
  <c r="AE116" i="10"/>
  <c r="AE61" i="12" s="1"/>
  <c r="T127" i="10"/>
  <c r="T72" i="12" s="1"/>
  <c r="Z124" i="10"/>
  <c r="Z69" i="12" s="1"/>
  <c r="AD127" i="10"/>
  <c r="AD72" i="12" s="1"/>
  <c r="W125" i="10"/>
  <c r="W70" i="12" s="1"/>
  <c r="Z117" i="10"/>
  <c r="Z62" i="12" s="1"/>
  <c r="Y119" i="10"/>
  <c r="Y64" i="12" s="1"/>
  <c r="V128" i="10"/>
  <c r="V73" i="12" s="1"/>
  <c r="Y116" i="10"/>
  <c r="Y61" i="12" s="1"/>
  <c r="AA122" i="10"/>
  <c r="AA67" i="12" s="1"/>
  <c r="T125" i="10"/>
  <c r="T70" i="12" s="1"/>
  <c r="AA120" i="10"/>
  <c r="AA65" i="12" s="1"/>
  <c r="U126" i="10"/>
  <c r="U71" i="12" s="1"/>
  <c r="S121" i="10"/>
  <c r="S66" i="12" s="1"/>
  <c r="AA126" i="10"/>
  <c r="AA71" i="12" s="1"/>
  <c r="AE125" i="10"/>
  <c r="AE70" i="12" s="1"/>
  <c r="U124" i="10"/>
  <c r="U69" i="12" s="1"/>
  <c r="Z121" i="10"/>
  <c r="Z66" i="12" s="1"/>
  <c r="X116" i="10"/>
  <c r="X61" i="12" s="1"/>
  <c r="T119" i="10"/>
  <c r="T64" i="12" s="1"/>
  <c r="T117" i="10"/>
  <c r="T62" i="12" s="1"/>
  <c r="S128" i="10"/>
  <c r="S73" i="12" s="1"/>
  <c r="AE124" i="10"/>
  <c r="AE69" i="12" s="1"/>
  <c r="W122" i="10"/>
  <c r="W67" i="12" s="1"/>
  <c r="AB127" i="10"/>
  <c r="AB72" i="12" s="1"/>
  <c r="Z126" i="10"/>
  <c r="Z71" i="12" s="1"/>
  <c r="Z119" i="10"/>
  <c r="Z64" i="12" s="1"/>
  <c r="AE123" i="10"/>
  <c r="AE68" i="12" s="1"/>
  <c r="Y124" i="10"/>
  <c r="Y69" i="12" s="1"/>
  <c r="AE122" i="10"/>
  <c r="AE67" i="12" s="1"/>
  <c r="V116" i="10"/>
  <c r="V61" i="12" s="1"/>
  <c r="AB116" i="10"/>
  <c r="AB61" i="12" s="1"/>
  <c r="V125" i="10"/>
  <c r="V70" i="12" s="1"/>
  <c r="T121" i="10"/>
  <c r="T66" i="12" s="1"/>
  <c r="AD123" i="10"/>
  <c r="AD68" i="12" s="1"/>
  <c r="W120" i="10"/>
  <c r="W65" i="12" s="1"/>
  <c r="AE121" i="10"/>
  <c r="AE66" i="12" s="1"/>
  <c r="X125" i="10"/>
  <c r="X70" i="12" s="1"/>
  <c r="U117" i="10"/>
  <c r="U62" i="12" s="1"/>
  <c r="AA116" i="10"/>
  <c r="AA61" i="12" s="1"/>
  <c r="T123" i="10"/>
  <c r="T68" i="12" s="1"/>
  <c r="U127" i="10"/>
  <c r="U72" i="12" s="1"/>
  <c r="AC124" i="10"/>
  <c r="AC69" i="12" s="1"/>
  <c r="AD121" i="10"/>
  <c r="AD66" i="12" s="1"/>
  <c r="AC127" i="10"/>
  <c r="AC72" i="12" s="1"/>
  <c r="AE118" i="10"/>
  <c r="AE63" i="12" s="1"/>
  <c r="AC116" i="10"/>
  <c r="AC61" i="12" s="1"/>
  <c r="Z128" i="10"/>
  <c r="Z73" i="12" s="1"/>
  <c r="AE126" i="10"/>
  <c r="AE71" i="12" s="1"/>
  <c r="AA119" i="10"/>
  <c r="AA64" i="12" s="1"/>
  <c r="AB126" i="10"/>
  <c r="AB71" i="12" s="1"/>
  <c r="AC126" i="10"/>
  <c r="AC71" i="12" s="1"/>
  <c r="Z123" i="10"/>
  <c r="Z68" i="12" s="1"/>
  <c r="Y121" i="10"/>
  <c r="Y66" i="12" s="1"/>
  <c r="U121" i="10"/>
  <c r="U66" i="12" s="1"/>
  <c r="W119" i="10"/>
  <c r="W64" i="12" s="1"/>
  <c r="AA121" i="10"/>
  <c r="AA66" i="12" s="1"/>
  <c r="S125" i="10"/>
  <c r="S70" i="12" s="1"/>
  <c r="V124" i="10"/>
  <c r="V69" i="12" s="1"/>
  <c r="S124" i="10"/>
  <c r="S69" i="12" s="1"/>
  <c r="AA124" i="10"/>
  <c r="AA69" i="12" s="1"/>
  <c r="AD126" i="10"/>
  <c r="AD71" i="12" s="1"/>
  <c r="X126" i="10"/>
  <c r="X71" i="12" s="1"/>
  <c r="AA125" i="10"/>
  <c r="AA70" i="12" s="1"/>
  <c r="S116" i="10"/>
  <c r="S61" i="12" s="1"/>
  <c r="T118" i="10"/>
  <c r="T63" i="12" s="1"/>
  <c r="AA123" i="10"/>
  <c r="AA68" i="12" s="1"/>
  <c r="AB118" i="10"/>
  <c r="AB63" i="12" s="1"/>
  <c r="X119" i="10"/>
  <c r="X64" i="12" s="1"/>
  <c r="X121" i="10"/>
  <c r="X66" i="12" s="1"/>
  <c r="W117" i="10"/>
  <c r="W62" i="12" s="1"/>
  <c r="U123" i="10"/>
  <c r="U68" i="12" s="1"/>
  <c r="AC122" i="10"/>
  <c r="AC67" i="12" s="1"/>
  <c r="U120" i="10"/>
  <c r="U65" i="12" s="1"/>
  <c r="AB125" i="10"/>
  <c r="AB70" i="12" s="1"/>
  <c r="T126" i="10"/>
  <c r="T71" i="12" s="1"/>
  <c r="AC117" i="10"/>
  <c r="AC62" i="12" s="1"/>
  <c r="V118" i="10"/>
  <c r="V63" i="12" s="1"/>
  <c r="X120" i="10"/>
  <c r="X65" i="12" s="1"/>
  <c r="AD128" i="10"/>
  <c r="AD73" i="12" s="1"/>
  <c r="X127" i="10"/>
  <c r="X72" i="12" s="1"/>
  <c r="AA128" i="10"/>
  <c r="AA73" i="12" s="1"/>
  <c r="S120" i="10"/>
  <c r="S65" i="12" s="1"/>
  <c r="W121" i="10"/>
  <c r="W66" i="12" s="1"/>
  <c r="AA127" i="10"/>
  <c r="AA72" i="12" s="1"/>
  <c r="S117" i="10"/>
  <c r="S62" i="12" s="1"/>
  <c r="Y122" i="10"/>
  <c r="Y67" i="12" s="1"/>
  <c r="Z127" i="10"/>
  <c r="Z72" i="12" s="1"/>
  <c r="S118" i="10"/>
  <c r="S63" i="12" s="1"/>
  <c r="AC121" i="10"/>
  <c r="AC66" i="12" s="1"/>
  <c r="V121" i="10"/>
  <c r="V66" i="12" s="1"/>
  <c r="AB122" i="10"/>
  <c r="AB67" i="12" s="1"/>
  <c r="T128" i="10"/>
  <c r="T73" i="12" s="1"/>
  <c r="S119" i="10"/>
  <c r="S64" i="12" s="1"/>
  <c r="X122" i="10"/>
  <c r="X67" i="12" s="1"/>
  <c r="V123" i="10"/>
  <c r="V68" i="12" s="1"/>
  <c r="U122" i="10"/>
  <c r="U67" i="12" s="1"/>
  <c r="U125" i="10"/>
  <c r="U70" i="12" s="1"/>
  <c r="AB123" i="10"/>
  <c r="AB68" i="12" s="1"/>
  <c r="V126" i="10"/>
  <c r="V71" i="12" s="1"/>
  <c r="V122" i="10"/>
  <c r="V67" i="12" s="1"/>
  <c r="W116" i="10"/>
  <c r="W61" i="12" s="1"/>
  <c r="Y125" i="10"/>
  <c r="Y70" i="12" s="1"/>
  <c r="X123" i="10"/>
  <c r="X68" i="12" s="1"/>
  <c r="T116" i="10"/>
  <c r="T61" i="12" s="1"/>
  <c r="U119" i="10"/>
  <c r="U64" i="12" s="1"/>
  <c r="Y117" i="10"/>
  <c r="Y62" i="12" s="1"/>
  <c r="AE119" i="10"/>
  <c r="AE64" i="12" s="1"/>
  <c r="AB117" i="10"/>
  <c r="AB62" i="12" s="1"/>
  <c r="S126" i="10"/>
  <c r="S71" i="12" s="1"/>
  <c r="AE120" i="10"/>
  <c r="AE65" i="12" s="1"/>
  <c r="Y127" i="10"/>
  <c r="Y72" i="12" s="1"/>
  <c r="T124" i="10"/>
  <c r="T69" i="12" s="1"/>
  <c r="AC125" i="10"/>
  <c r="AC70" i="12" s="1"/>
  <c r="V127" i="10"/>
  <c r="V72" i="12" s="1"/>
  <c r="U116" i="10"/>
  <c r="U61" i="12" s="1"/>
  <c r="Y126" i="10"/>
  <c r="Y71" i="12" s="1"/>
  <c r="X124" i="10"/>
  <c r="X69" i="12" s="1"/>
  <c r="V120" i="10"/>
  <c r="V65" i="12" s="1"/>
  <c r="Z120" i="10"/>
  <c r="Z65" i="12" s="1"/>
  <c r="V119" i="10"/>
  <c r="V64" i="12" s="1"/>
  <c r="U118" i="10"/>
  <c r="U63" i="12" s="1"/>
  <c r="AB121" i="10"/>
  <c r="AB66" i="12" s="1"/>
  <c r="AD124" i="10"/>
  <c r="AD69" i="12" s="1"/>
  <c r="AD125" i="10"/>
  <c r="AD70" i="12" s="1"/>
  <c r="AC118" i="10"/>
  <c r="AC63" i="12" s="1"/>
  <c r="Z122" i="10"/>
  <c r="Z67" i="12" s="1"/>
  <c r="X128" i="10"/>
  <c r="X73" i="12" s="1"/>
  <c r="AE127" i="10"/>
  <c r="AE72" i="12" s="1"/>
  <c r="AA118" i="10"/>
  <c r="AA63" i="12" s="1"/>
  <c r="T122" i="10"/>
  <c r="T67" i="12" s="1"/>
  <c r="AB119" i="10"/>
  <c r="AB64" i="12" s="1"/>
  <c r="AF74" i="12" l="1"/>
  <c r="AG75" i="12" s="1"/>
  <c r="U130" i="10"/>
  <c r="S130" i="10"/>
  <c r="W130" i="10" l="1"/>
  <c r="J144" i="10" s="1"/>
  <c r="J87" i="12" s="1"/>
  <c r="L140" i="10" l="1"/>
  <c r="L83" i="12" s="1"/>
  <c r="H141" i="10"/>
  <c r="H84" i="12" s="1"/>
  <c r="J142" i="10"/>
  <c r="J85" i="12" s="1"/>
  <c r="M144" i="10"/>
  <c r="M87" i="12" s="1"/>
  <c r="G137" i="10"/>
  <c r="G80" i="12" s="1"/>
  <c r="K137" i="10"/>
  <c r="K80" i="12" s="1"/>
  <c r="F139" i="10"/>
  <c r="F82" i="12" s="1"/>
  <c r="O138" i="10"/>
  <c r="O81" i="12" s="1"/>
  <c r="D147" i="10"/>
  <c r="D90" i="12" s="1"/>
  <c r="J147" i="10"/>
  <c r="J90" i="12" s="1"/>
  <c r="G138" i="10"/>
  <c r="G81" i="12" s="1"/>
  <c r="H76" i="12"/>
  <c r="I76" i="12" s="1"/>
  <c r="F138" i="10"/>
  <c r="F81" i="12" s="1"/>
  <c r="C145" i="10"/>
  <c r="C88" i="12" s="1"/>
  <c r="M135" i="10"/>
  <c r="M78" i="12" s="1"/>
  <c r="H140" i="10"/>
  <c r="H83" i="12" s="1"/>
  <c r="N146" i="10"/>
  <c r="N89" i="12" s="1"/>
  <c r="N140" i="10"/>
  <c r="N83" i="12" s="1"/>
  <c r="H143" i="10"/>
  <c r="H86" i="12" s="1"/>
  <c r="C141" i="10"/>
  <c r="C84" i="12" s="1"/>
  <c r="L135" i="10"/>
  <c r="L78" i="12" s="1"/>
  <c r="M137" i="10"/>
  <c r="M80" i="12" s="1"/>
  <c r="H135" i="10"/>
  <c r="H78" i="12" s="1"/>
  <c r="M140" i="10"/>
  <c r="M83" i="12" s="1"/>
  <c r="O137" i="10"/>
  <c r="O80" i="12" s="1"/>
  <c r="I142" i="10"/>
  <c r="I85" i="12" s="1"/>
  <c r="F136" i="10"/>
  <c r="F79" i="12" s="1"/>
  <c r="O144" i="10"/>
  <c r="O87" i="12" s="1"/>
  <c r="F144" i="10"/>
  <c r="F87" i="12" s="1"/>
  <c r="C146" i="10"/>
  <c r="C89" i="12" s="1"/>
  <c r="J145" i="10"/>
  <c r="J88" i="12" s="1"/>
  <c r="M145" i="10"/>
  <c r="M88" i="12" s="1"/>
  <c r="E135" i="10"/>
  <c r="E78" i="12" s="1"/>
  <c r="D139" i="10"/>
  <c r="D82" i="12" s="1"/>
  <c r="H144" i="10"/>
  <c r="H87" i="12" s="1"/>
  <c r="K136" i="10"/>
  <c r="K79" i="12" s="1"/>
  <c r="J139" i="10"/>
  <c r="J82" i="12" s="1"/>
  <c r="D146" i="10"/>
  <c r="D89" i="12" s="1"/>
  <c r="J140" i="10"/>
  <c r="J83" i="12" s="1"/>
  <c r="G142" i="10"/>
  <c r="G85" i="12" s="1"/>
  <c r="M143" i="10"/>
  <c r="M86" i="12" s="1"/>
  <c r="D137" i="10"/>
  <c r="D80" i="12" s="1"/>
  <c r="M146" i="10"/>
  <c r="M89" i="12" s="1"/>
  <c r="F135" i="10"/>
  <c r="F78" i="12" s="1"/>
  <c r="O136" i="10"/>
  <c r="O79" i="12" s="1"/>
  <c r="K140" i="10"/>
  <c r="K83" i="12" s="1"/>
  <c r="K138" i="10"/>
  <c r="K81" i="12" s="1"/>
  <c r="I141" i="10"/>
  <c r="I84" i="12" s="1"/>
  <c r="I144" i="10"/>
  <c r="I87" i="12" s="1"/>
  <c r="K139" i="10"/>
  <c r="K82" i="12" s="1"/>
  <c r="O135" i="10"/>
  <c r="O78" i="12" s="1"/>
  <c r="K142" i="10"/>
  <c r="K85" i="12" s="1"/>
  <c r="M141" i="10"/>
  <c r="M84" i="12" s="1"/>
  <c r="E136" i="10"/>
  <c r="E79" i="12" s="1"/>
  <c r="L142" i="10"/>
  <c r="L85" i="12" s="1"/>
  <c r="L141" i="10"/>
  <c r="L84" i="12" s="1"/>
  <c r="F146" i="10"/>
  <c r="F89" i="12" s="1"/>
  <c r="C142" i="10"/>
  <c r="C85" i="12" s="1"/>
  <c r="N144" i="10"/>
  <c r="N87" i="12" s="1"/>
  <c r="H142" i="10"/>
  <c r="H85" i="12" s="1"/>
  <c r="C138" i="10"/>
  <c r="C81" i="12" s="1"/>
  <c r="C139" i="10"/>
  <c r="C82" i="12" s="1"/>
  <c r="L145" i="10"/>
  <c r="L88" i="12" s="1"/>
  <c r="I136" i="10"/>
  <c r="I79" i="12" s="1"/>
  <c r="J136" i="10"/>
  <c r="J79" i="12" s="1"/>
  <c r="M147" i="10"/>
  <c r="M90" i="12" s="1"/>
  <c r="G145" i="10"/>
  <c r="G88" i="12" s="1"/>
  <c r="H145" i="10"/>
  <c r="H88" i="12" s="1"/>
  <c r="M142" i="10"/>
  <c r="M85" i="12" s="1"/>
  <c r="C135" i="10"/>
  <c r="C78" i="12" s="1"/>
  <c r="O139" i="10"/>
  <c r="O82" i="12" s="1"/>
  <c r="F137" i="10"/>
  <c r="F80" i="12" s="1"/>
  <c r="E138" i="10"/>
  <c r="E81" i="12" s="1"/>
  <c r="O147" i="10"/>
  <c r="O90" i="12" s="1"/>
  <c r="J143" i="10"/>
  <c r="J86" i="12" s="1"/>
  <c r="D141" i="10"/>
  <c r="D84" i="12" s="1"/>
  <c r="E140" i="10"/>
  <c r="E83" i="12" s="1"/>
  <c r="O142" i="10"/>
  <c r="O85" i="12" s="1"/>
  <c r="K143" i="10"/>
  <c r="K86" i="12" s="1"/>
  <c r="K145" i="10"/>
  <c r="K88" i="12" s="1"/>
  <c r="E146" i="10"/>
  <c r="E89" i="12" s="1"/>
  <c r="N145" i="10"/>
  <c r="N88" i="12" s="1"/>
  <c r="O146" i="10"/>
  <c r="O89" i="12" s="1"/>
  <c r="H139" i="10"/>
  <c r="H82" i="12" s="1"/>
  <c r="C140" i="10"/>
  <c r="C83" i="12" s="1"/>
  <c r="C137" i="10"/>
  <c r="C80" i="12" s="1"/>
  <c r="F141" i="10"/>
  <c r="F84" i="12" s="1"/>
  <c r="K141" i="10"/>
  <c r="K84" i="12" s="1"/>
  <c r="E142" i="10"/>
  <c r="E85" i="12" s="1"/>
  <c r="F142" i="10"/>
  <c r="F85" i="12" s="1"/>
  <c r="O140" i="10"/>
  <c r="O83" i="12" s="1"/>
  <c r="E139" i="10"/>
  <c r="E82" i="12" s="1"/>
  <c r="K146" i="10"/>
  <c r="K89" i="12" s="1"/>
  <c r="G139" i="10"/>
  <c r="G82" i="12" s="1"/>
  <c r="J137" i="10"/>
  <c r="J80" i="12" s="1"/>
  <c r="J146" i="10"/>
  <c r="J89" i="12" s="1"/>
  <c r="E137" i="10"/>
  <c r="E80" i="12" s="1"/>
  <c r="L138" i="10"/>
  <c r="L81" i="12" s="1"/>
  <c r="I135" i="10"/>
  <c r="I78" i="12" s="1"/>
  <c r="E144" i="10"/>
  <c r="E87" i="12" s="1"/>
  <c r="D145" i="10"/>
  <c r="D88" i="12" s="1"/>
  <c r="G143" i="10"/>
  <c r="G86" i="12" s="1"/>
  <c r="N135" i="10"/>
  <c r="N78" i="12" s="1"/>
  <c r="L143" i="10"/>
  <c r="L86" i="12" s="1"/>
  <c r="I140" i="10"/>
  <c r="I83" i="12" s="1"/>
  <c r="N137" i="10"/>
  <c r="N80" i="12" s="1"/>
  <c r="G146" i="10"/>
  <c r="G89" i="12" s="1"/>
  <c r="I138" i="10"/>
  <c r="I81" i="12" s="1"/>
  <c r="E145" i="10"/>
  <c r="E88" i="12" s="1"/>
  <c r="K147" i="10"/>
  <c r="K90" i="12" s="1"/>
  <c r="I146" i="10"/>
  <c r="I89" i="12" s="1"/>
  <c r="D136" i="10"/>
  <c r="D79" i="12" s="1"/>
  <c r="I143" i="10"/>
  <c r="I86" i="12" s="1"/>
  <c r="J135" i="10"/>
  <c r="J78" i="12" s="1"/>
  <c r="G135" i="10"/>
  <c r="G78" i="12" s="1"/>
  <c r="I139" i="10"/>
  <c r="I82" i="12" s="1"/>
  <c r="D140" i="10"/>
  <c r="D83" i="12" s="1"/>
  <c r="M139" i="10"/>
  <c r="M82" i="12" s="1"/>
  <c r="C143" i="10"/>
  <c r="C86" i="12" s="1"/>
  <c r="L136" i="10"/>
  <c r="L79" i="12" s="1"/>
  <c r="J141" i="10"/>
  <c r="J84" i="12" s="1"/>
  <c r="G144" i="10"/>
  <c r="G87" i="12" s="1"/>
  <c r="N136" i="10"/>
  <c r="N79" i="12" s="1"/>
  <c r="F145" i="10"/>
  <c r="F88" i="12" s="1"/>
  <c r="I147" i="10"/>
  <c r="I90" i="12" s="1"/>
  <c r="N141" i="10"/>
  <c r="N84" i="12" s="1"/>
  <c r="O141" i="10"/>
  <c r="O84" i="12" s="1"/>
  <c r="H146" i="10"/>
  <c r="H89" i="12" s="1"/>
  <c r="G140" i="10"/>
  <c r="G83" i="12" s="1"/>
  <c r="H136" i="10"/>
  <c r="H79" i="12" s="1"/>
  <c r="N147" i="10"/>
  <c r="N90" i="12" s="1"/>
  <c r="F147" i="10"/>
  <c r="F90" i="12" s="1"/>
  <c r="N139" i="10"/>
  <c r="N82" i="12" s="1"/>
  <c r="G141" i="10"/>
  <c r="G84" i="12" s="1"/>
  <c r="L147" i="10"/>
  <c r="L90" i="12" s="1"/>
  <c r="N143" i="10"/>
  <c r="N86" i="12" s="1"/>
  <c r="L139" i="10"/>
  <c r="L82" i="12" s="1"/>
  <c r="D138" i="10"/>
  <c r="D81" i="12" s="1"/>
  <c r="H137" i="10"/>
  <c r="H80" i="12" s="1"/>
  <c r="L144" i="10"/>
  <c r="L87" i="12" s="1"/>
  <c r="G136" i="10"/>
  <c r="G79" i="12" s="1"/>
  <c r="N142" i="10"/>
  <c r="N85" i="12" s="1"/>
  <c r="O143" i="10"/>
  <c r="O86" i="12" s="1"/>
  <c r="D143" i="10"/>
  <c r="D86" i="12" s="1"/>
  <c r="K135" i="10"/>
  <c r="K78" i="12" s="1"/>
  <c r="C136" i="10"/>
  <c r="C79" i="12" s="1"/>
  <c r="M136" i="10"/>
  <c r="M79" i="12" s="1"/>
  <c r="C144" i="10"/>
  <c r="C87" i="12" s="1"/>
  <c r="F140" i="10"/>
  <c r="F83" i="12" s="1"/>
  <c r="E147" i="10"/>
  <c r="E90" i="12" s="1"/>
  <c r="E141" i="10"/>
  <c r="E84" i="12" s="1"/>
  <c r="N138" i="10"/>
  <c r="N81" i="12" s="1"/>
  <c r="E143" i="10"/>
  <c r="E86" i="12" s="1"/>
  <c r="M138" i="10"/>
  <c r="M81" i="12" s="1"/>
  <c r="K144" i="10"/>
  <c r="K87" i="12" s="1"/>
  <c r="H147" i="10"/>
  <c r="H90" i="12" s="1"/>
  <c r="L137" i="10"/>
  <c r="L80" i="12" s="1"/>
  <c r="D142" i="10"/>
  <c r="D85" i="12" s="1"/>
  <c r="F143" i="10"/>
  <c r="F86" i="12" s="1"/>
  <c r="H138" i="10"/>
  <c r="H81" i="12" s="1"/>
  <c r="G147" i="10"/>
  <c r="G90" i="12" s="1"/>
  <c r="C147" i="10"/>
  <c r="C90" i="12" s="1"/>
  <c r="O145" i="10"/>
  <c r="O88" i="12" s="1"/>
  <c r="L146" i="10"/>
  <c r="L89" i="12" s="1"/>
  <c r="D144" i="10"/>
  <c r="D87" i="12" s="1"/>
  <c r="I137" i="10"/>
  <c r="I80" i="12" s="1"/>
  <c r="D135" i="10"/>
  <c r="D78" i="12" s="1"/>
  <c r="I145" i="10"/>
  <c r="I88" i="12" s="1"/>
  <c r="J138" i="10"/>
  <c r="J81" i="12" s="1"/>
  <c r="P91" i="12" l="1"/>
  <c r="Q92" i="12" s="1"/>
  <c r="AE136" i="10"/>
  <c r="AE79" i="12" s="1"/>
  <c r="S141" i="10"/>
  <c r="S84" i="12" s="1"/>
  <c r="W144" i="10"/>
  <c r="W87" i="12" s="1"/>
  <c r="AB142" i="10"/>
  <c r="AB85" i="12" s="1"/>
  <c r="W135" i="10"/>
  <c r="W78" i="12" s="1"/>
  <c r="AA136" i="10"/>
  <c r="AA79" i="12" s="1"/>
  <c r="S146" i="10"/>
  <c r="S89" i="12" s="1"/>
  <c r="V138" i="10"/>
  <c r="V81" i="12" s="1"/>
  <c r="V145" i="10"/>
  <c r="V88" i="12" s="1"/>
  <c r="Y143" i="10"/>
  <c r="Y86" i="12" s="1"/>
  <c r="U135" i="10"/>
  <c r="U78" i="12" s="1"/>
  <c r="Y147" i="10"/>
  <c r="Y90" i="12" s="1"/>
  <c r="Z147" i="10"/>
  <c r="Z90" i="12" s="1"/>
  <c r="AE141" i="10"/>
  <c r="AE84" i="12" s="1"/>
  <c r="Y142" i="10"/>
  <c r="Y85" i="12" s="1"/>
  <c r="AC141" i="10"/>
  <c r="AC84" i="12" s="1"/>
  <c r="Z140" i="10"/>
  <c r="Z83" i="12" s="1"/>
  <c r="AE142" i="10"/>
  <c r="AE85" i="12" s="1"/>
  <c r="W143" i="10"/>
  <c r="W86" i="12" s="1"/>
  <c r="AD146" i="10"/>
  <c r="AD89" i="12" s="1"/>
  <c r="S140" i="10"/>
  <c r="S83" i="12" s="1"/>
  <c r="V136" i="10"/>
  <c r="V79" i="12" s="1"/>
  <c r="V137" i="10"/>
  <c r="V80" i="12" s="1"/>
  <c r="AB141" i="10"/>
  <c r="AB84" i="12" s="1"/>
  <c r="AA142" i="10"/>
  <c r="AA85" i="12" s="1"/>
  <c r="Z142" i="10"/>
  <c r="Z85" i="12" s="1"/>
  <c r="Y140" i="10"/>
  <c r="Y83" i="12" s="1"/>
  <c r="AA141" i="10"/>
  <c r="AA84" i="12" s="1"/>
  <c r="X135" i="10"/>
  <c r="X78" i="12" s="1"/>
  <c r="X137" i="10"/>
  <c r="X80" i="12" s="1"/>
  <c r="Z141" i="10"/>
  <c r="Z84" i="12" s="1"/>
  <c r="Y141" i="10"/>
  <c r="Y84" i="12" s="1"/>
  <c r="X143" i="10"/>
  <c r="X86" i="12" s="1"/>
  <c r="Y139" i="10"/>
  <c r="Y82" i="12" s="1"/>
  <c r="V141" i="10"/>
  <c r="V84" i="12" s="1"/>
  <c r="Z135" i="10"/>
  <c r="Z78" i="12" s="1"/>
  <c r="V135" i="10"/>
  <c r="V78" i="12" s="1"/>
  <c r="AE135" i="10"/>
  <c r="AE78" i="12" s="1"/>
  <c r="AB143" i="10"/>
  <c r="AB86" i="12" s="1"/>
  <c r="AB138" i="10"/>
  <c r="AB81" i="12" s="1"/>
  <c r="T139" i="10"/>
  <c r="T82" i="12" s="1"/>
  <c r="AD141" i="10"/>
  <c r="AD84" i="12" s="1"/>
  <c r="U143" i="10"/>
  <c r="U86" i="12" s="1"/>
  <c r="AA140" i="10"/>
  <c r="AA83" i="12" s="1"/>
  <c r="Y146" i="10"/>
  <c r="Y89" i="12" s="1"/>
  <c r="AE137" i="10"/>
  <c r="AE80" i="12" s="1"/>
  <c r="AC143" i="10"/>
  <c r="AC86" i="12" s="1"/>
  <c r="T135" i="10"/>
  <c r="T78" i="12" s="1"/>
  <c r="AB147" i="10"/>
  <c r="AB90" i="12" s="1"/>
  <c r="T147" i="10"/>
  <c r="T90" i="12" s="1"/>
  <c r="V139" i="10"/>
  <c r="V82" i="12" s="1"/>
  <c r="AE140" i="10"/>
  <c r="AE83" i="12" s="1"/>
  <c r="W146" i="10"/>
  <c r="W89" i="12" s="1"/>
  <c r="AE146" i="10"/>
  <c r="AE89" i="12" s="1"/>
  <c r="AC135" i="10"/>
  <c r="AC78" i="12" s="1"/>
  <c r="AE147" i="10"/>
  <c r="AE90" i="12" s="1"/>
  <c r="AA146" i="10"/>
  <c r="AA89" i="12" s="1"/>
  <c r="AD140" i="10"/>
  <c r="AD83" i="12" s="1"/>
  <c r="S147" i="10"/>
  <c r="S90" i="12" s="1"/>
  <c r="W145" i="10"/>
  <c r="W88" i="12" s="1"/>
  <c r="W141" i="10"/>
  <c r="W84" i="12" s="1"/>
  <c r="T145" i="10"/>
  <c r="T88" i="12" s="1"/>
  <c r="AD147" i="10"/>
  <c r="AD90" i="12" s="1"/>
  <c r="S136" i="10"/>
  <c r="S79" i="12" s="1"/>
  <c r="X139" i="10"/>
  <c r="X82" i="12" s="1"/>
  <c r="V140" i="10"/>
  <c r="V83" i="12" s="1"/>
  <c r="X142" i="10"/>
  <c r="X85" i="12" s="1"/>
  <c r="AA139" i="10"/>
  <c r="AA82" i="12" s="1"/>
  <c r="X144" i="10"/>
  <c r="X87" i="12" s="1"/>
  <c r="AD138" i="10"/>
  <c r="AD81" i="12" s="1"/>
  <c r="X146" i="10"/>
  <c r="X89" i="12" s="1"/>
  <c r="V147" i="10"/>
  <c r="V90" i="12" s="1"/>
  <c r="AE143" i="10"/>
  <c r="AE86" i="12" s="1"/>
  <c r="AE138" i="10"/>
  <c r="AE81" i="12" s="1"/>
  <c r="Y135" i="10"/>
  <c r="Y78" i="12" s="1"/>
  <c r="Z139" i="10"/>
  <c r="Z82" i="12" s="1"/>
  <c r="X147" i="10"/>
  <c r="X90" i="12" s="1"/>
  <c r="AB136" i="10"/>
  <c r="AB79" i="12" s="1"/>
  <c r="S142" i="10"/>
  <c r="S85" i="12" s="1"/>
  <c r="Y137" i="10"/>
  <c r="Y80" i="12" s="1"/>
  <c r="Z138" i="10"/>
  <c r="Z81" i="12" s="1"/>
  <c r="AB146" i="10"/>
  <c r="AB89" i="12" s="1"/>
  <c r="AC146" i="10"/>
  <c r="AC89" i="12" s="1"/>
  <c r="AD143" i="10"/>
  <c r="AD86" i="12" s="1"/>
  <c r="U147" i="10"/>
  <c r="U90" i="12" s="1"/>
  <c r="W147" i="10"/>
  <c r="W90" i="12" s="1"/>
  <c r="S135" i="10"/>
  <c r="S78" i="12" s="1"/>
  <c r="AA147" i="10"/>
  <c r="AA90" i="12" s="1"/>
  <c r="U144" i="10"/>
  <c r="U87" i="12" s="1"/>
  <c r="T146" i="10"/>
  <c r="T89" i="12" s="1"/>
  <c r="AC144" i="10"/>
  <c r="AC87" i="12" s="1"/>
  <c r="AC142" i="10"/>
  <c r="AC85" i="12" s="1"/>
  <c r="V142" i="10"/>
  <c r="V85" i="12" s="1"/>
  <c r="Z136" i="10"/>
  <c r="Z79" i="12" s="1"/>
  <c r="T144" i="10"/>
  <c r="T87" i="12" s="1"/>
  <c r="AD145" i="10"/>
  <c r="AD88" i="12" s="1"/>
  <c r="S145" i="10"/>
  <c r="S88" i="12" s="1"/>
  <c r="Y144" i="10"/>
  <c r="Y87" i="12" s="1"/>
  <c r="AC147" i="10"/>
  <c r="AC90" i="12" s="1"/>
  <c r="X140" i="10"/>
  <c r="X83" i="12" s="1"/>
  <c r="AD135" i="10"/>
  <c r="AD78" i="12" s="1"/>
  <c r="W142" i="10"/>
  <c r="W85" i="12" s="1"/>
  <c r="AD142" i="10"/>
  <c r="AD85" i="12" s="1"/>
  <c r="AC138" i="10"/>
  <c r="AC81" i="12" s="1"/>
  <c r="V144" i="10"/>
  <c r="V87" i="12" s="1"/>
  <c r="W140" i="10"/>
  <c r="W83" i="12" s="1"/>
  <c r="Z137" i="10"/>
  <c r="Z80" i="12" s="1"/>
  <c r="W136" i="10"/>
  <c r="W79" i="12" s="1"/>
  <c r="Y136" i="10"/>
  <c r="Y79" i="12" s="1"/>
  <c r="U142" i="10"/>
  <c r="U85" i="12" s="1"/>
  <c r="AC139" i="10"/>
  <c r="AC82" i="12" s="1"/>
  <c r="AB145" i="10"/>
  <c r="AB88" i="12" s="1"/>
  <c r="AB140" i="10"/>
  <c r="AB83" i="12" s="1"/>
  <c r="W137" i="10"/>
  <c r="W80" i="12" s="1"/>
  <c r="T140" i="10"/>
  <c r="T83" i="12" s="1"/>
  <c r="T141" i="10"/>
  <c r="T84" i="12" s="1"/>
  <c r="S137" i="10"/>
  <c r="S80" i="12" s="1"/>
  <c r="V143" i="10"/>
  <c r="V86" i="12" s="1"/>
  <c r="T142" i="10"/>
  <c r="T85" i="12" s="1"/>
  <c r="AE144" i="10"/>
  <c r="AE87" i="12" s="1"/>
  <c r="Y145" i="10"/>
  <c r="Y88" i="12" s="1"/>
  <c r="W139" i="10"/>
  <c r="W82" i="12" s="1"/>
  <c r="W138" i="10"/>
  <c r="W81" i="12" s="1"/>
  <c r="U138" i="10"/>
  <c r="U81" i="12" s="1"/>
  <c r="AD144" i="10"/>
  <c r="AD87" i="12" s="1"/>
  <c r="T143" i="10"/>
  <c r="T86" i="12" s="1"/>
  <c r="T137" i="10"/>
  <c r="T80" i="12" s="1"/>
  <c r="T138" i="10"/>
  <c r="T81" i="12" s="1"/>
  <c r="S138" i="10"/>
  <c r="S81" i="12" s="1"/>
  <c r="U145" i="10"/>
  <c r="U88" i="12" s="1"/>
  <c r="T136" i="10"/>
  <c r="T79" i="12" s="1"/>
  <c r="AB137" i="10"/>
  <c r="AB80" i="12" s="1"/>
  <c r="X141" i="10"/>
  <c r="X84" i="12" s="1"/>
  <c r="Y138" i="10"/>
  <c r="Y81" i="12" s="1"/>
  <c r="V146" i="10"/>
  <c r="V89" i="12" s="1"/>
  <c r="AC137" i="10"/>
  <c r="AC80" i="12" s="1"/>
  <c r="X138" i="10"/>
  <c r="X81" i="12" s="1"/>
  <c r="X145" i="10"/>
  <c r="X88" i="12" s="1"/>
  <c r="U136" i="10"/>
  <c r="U79" i="12" s="1"/>
  <c r="U146" i="10"/>
  <c r="U89" i="12" s="1"/>
  <c r="S143" i="10"/>
  <c r="S86" i="12" s="1"/>
  <c r="U141" i="10"/>
  <c r="U84" i="12" s="1"/>
  <c r="AD137" i="10"/>
  <c r="AD80" i="12" s="1"/>
  <c r="AA143" i="10"/>
  <c r="AA86" i="12" s="1"/>
  <c r="X136" i="10"/>
  <c r="X79" i="12" s="1"/>
  <c r="AB139" i="10"/>
  <c r="AB82" i="12" s="1"/>
  <c r="AE145" i="10"/>
  <c r="AE88" i="12" s="1"/>
  <c r="AA137" i="10"/>
  <c r="AA80" i="12" s="1"/>
  <c r="AA144" i="10"/>
  <c r="AA87" i="12" s="1"/>
  <c r="AC145" i="10"/>
  <c r="AC88" i="12" s="1"/>
  <c r="AA145" i="10"/>
  <c r="AA88" i="12" s="1"/>
  <c r="S139" i="10"/>
  <c r="S82" i="12" s="1"/>
  <c r="AD136" i="10"/>
  <c r="AD79" i="12" s="1"/>
  <c r="AB135" i="10"/>
  <c r="AB78" i="12" s="1"/>
  <c r="AE139" i="10"/>
  <c r="AE82" i="12" s="1"/>
  <c r="AC140" i="10"/>
  <c r="AC83" i="12" s="1"/>
  <c r="S144" i="10"/>
  <c r="S87" i="12" s="1"/>
  <c r="U140" i="10"/>
  <c r="U83" i="12" s="1"/>
  <c r="AA135" i="10"/>
  <c r="AA78" i="12" s="1"/>
  <c r="AA138" i="10"/>
  <c r="AA81" i="12" s="1"/>
  <c r="Z143" i="10"/>
  <c r="Z86" i="12" s="1"/>
  <c r="AB144" i="10"/>
  <c r="AB87" i="12" s="1"/>
  <c r="U137" i="10"/>
  <c r="U80" i="12" s="1"/>
  <c r="AD139" i="10"/>
  <c r="AD82" i="12" s="1"/>
  <c r="Z144" i="10"/>
  <c r="Z87" i="12" s="1"/>
  <c r="AC136" i="10"/>
  <c r="AC79" i="12" s="1"/>
  <c r="U139" i="10"/>
  <c r="U82" i="12" s="1"/>
  <c r="Z146" i="10"/>
  <c r="Z89" i="12" s="1"/>
  <c r="Z145" i="10"/>
  <c r="Z88" i="12" s="1"/>
  <c r="AF91" i="12" l="1"/>
  <c r="AG92" i="12" s="1"/>
  <c r="C9" i="12" s="1"/>
  <c r="C10" i="12" s="1"/>
  <c r="C11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<sst xmlns="http://schemas.openxmlformats.org/spreadsheetml/2006/main" count="154" uniqueCount="52">
  <si>
    <t>Roll</t>
  </si>
  <si>
    <t>Hash</t>
  </si>
  <si>
    <t>d</t>
  </si>
  <si>
    <t>Texture</t>
  </si>
  <si>
    <t>dx</t>
  </si>
  <si>
    <t>dy</t>
  </si>
  <si>
    <t>Ix</t>
  </si>
  <si>
    <t>Ix^2</t>
  </si>
  <si>
    <t>factor</t>
  </si>
  <si>
    <t>Iy^2</t>
  </si>
  <si>
    <t>IxIy</t>
  </si>
  <si>
    <t>mu</t>
  </si>
  <si>
    <t>std</t>
  </si>
  <si>
    <t>x</t>
  </si>
  <si>
    <t>gaussian average</t>
  </si>
  <si>
    <t>det(M)</t>
  </si>
  <si>
    <t>m</t>
  </si>
  <si>
    <t>min</t>
  </si>
  <si>
    <t>max</t>
  </si>
  <si>
    <t>scl</t>
  </si>
  <si>
    <t>src</t>
  </si>
  <si>
    <t>tar</t>
  </si>
  <si>
    <t>sft</t>
  </si>
  <si>
    <t>trace^2</t>
  </si>
  <si>
    <t>R</t>
  </si>
  <si>
    <t>kappa</t>
  </si>
  <si>
    <t>scaled</t>
  </si>
  <si>
    <t>thresholded</t>
  </si>
  <si>
    <t>sigma</t>
  </si>
  <si>
    <t>norm c</t>
  </si>
  <si>
    <t>Iy</t>
  </si>
  <si>
    <t>NMS</t>
  </si>
  <si>
    <t>sl</t>
  </si>
  <si>
    <t>Image</t>
  </si>
  <si>
    <t>Derivative filters</t>
  </si>
  <si>
    <t>These should be one</t>
  </si>
  <si>
    <t>Gaussian smoothed</t>
  </si>
  <si>
    <t>Cornerness</t>
  </si>
  <si>
    <t>without scaling</t>
  </si>
  <si>
    <t>T=</t>
  </si>
  <si>
    <t>Generated Image</t>
  </si>
  <si>
    <t>Point</t>
  </si>
  <si>
    <t>Differences</t>
  </si>
  <si>
    <t>Sum of Points</t>
  </si>
  <si>
    <t>T</t>
  </si>
  <si>
    <t>Total Points</t>
  </si>
  <si>
    <t>Don’t try to edit here</t>
  </si>
  <si>
    <t>Score</t>
  </si>
  <si>
    <t>%</t>
  </si>
  <si>
    <t>Wt. Score</t>
  </si>
  <si>
    <t>out of 10</t>
  </si>
  <si>
    <t>2  1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</si>
</sst>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001D35"/>
      <name val="Courier New"/>
      <family val="3"/>
    </font>
    <font>
      <sz val="12"/>
      <color theme="1"/>
      <name val="Calibri"/>
      <family val="2"/>
      <scheme val="minor"/>
    </font>
    <font>
      <sz val="9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9" borderId="0" xfId="0" applyFill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 applyProtection="1">
      <alignment horizontal="center" vertical="center" shrinkToFi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8" borderId="0" xfId="0" applyFont="1" applyFill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0695-326F-427E-800E-4858A9950FDB}">
  <dimension ref="A2:AU90"/>
  <sheetViews>
    <sheetView tabSelected="1" topLeftCell="A15" zoomScale="85" zoomScaleNormal="85" workbookViewId="0">
      <selection activeCell="C44" sqref="C44:O56"/>
    </sheetView>
  </sheetViews>
  <sheetFormatPr defaultColWidth="7" defaultRowHeight="14.4" x14ac:dyDescent="0.3"/>
  <cols>
    <col min="6" max="6" width="7.33203125" bestFit="1" customWidth="1"/>
  </cols>
  <sheetData>
    <row r="2" spans="2:19" x14ac:dyDescent="0.3">
      <c r="B2" s="1"/>
      <c r="C2" s="1"/>
      <c r="D2" s="1"/>
      <c r="E2" s="1"/>
      <c r="F2" s="5"/>
      <c r="G2" s="5">
        <v>0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</row>
    <row r="3" spans="2:19" ht="18" x14ac:dyDescent="0.3">
      <c r="B3" s="1"/>
      <c r="C3" s="1"/>
      <c r="D3" s="1"/>
      <c r="E3" s="1"/>
      <c r="F3" s="5">
        <v>0</v>
      </c>
      <c r="G3" s="27">
        <v>65</v>
      </c>
      <c r="H3" s="27">
        <v>70</v>
      </c>
      <c r="I3" s="27">
        <v>69</v>
      </c>
      <c r="J3" s="27">
        <v>69</v>
      </c>
      <c r="K3" s="27">
        <v>65</v>
      </c>
      <c r="L3" s="27">
        <v>65</v>
      </c>
      <c r="M3" s="27">
        <v>35</v>
      </c>
      <c r="N3" s="27">
        <v>36</v>
      </c>
      <c r="O3" s="27">
        <v>35</v>
      </c>
      <c r="P3" s="27">
        <v>34</v>
      </c>
      <c r="Q3" s="27">
        <v>37</v>
      </c>
      <c r="R3" s="27">
        <v>38</v>
      </c>
      <c r="S3" s="27">
        <v>35</v>
      </c>
    </row>
    <row r="4" spans="2:19" ht="18" x14ac:dyDescent="0.3">
      <c r="B4" s="24" t="s">
        <v>0</v>
      </c>
      <c r="C4" s="43">
        <v>2007090</v>
      </c>
      <c r="D4" s="43"/>
      <c r="E4" s="1"/>
      <c r="F4" s="5">
        <v>1</v>
      </c>
      <c r="G4" s="27">
        <v>68</v>
      </c>
      <c r="H4" s="27">
        <v>66</v>
      </c>
      <c r="I4" s="27">
        <v>66</v>
      </c>
      <c r="J4" s="27">
        <v>66</v>
      </c>
      <c r="K4" s="27">
        <v>68</v>
      </c>
      <c r="L4" s="27">
        <v>67</v>
      </c>
      <c r="M4" s="27">
        <v>36</v>
      </c>
      <c r="N4" s="27">
        <v>35</v>
      </c>
      <c r="O4" s="27">
        <v>35</v>
      </c>
      <c r="P4" s="27">
        <v>36</v>
      </c>
      <c r="Q4" s="27">
        <v>36</v>
      </c>
      <c r="R4" s="27">
        <v>34</v>
      </c>
      <c r="S4" s="27">
        <v>35</v>
      </c>
    </row>
    <row r="5" spans="2:19" ht="18" x14ac:dyDescent="0.3">
      <c r="B5" s="1"/>
      <c r="C5" s="1"/>
      <c r="D5" s="1"/>
      <c r="E5" s="1"/>
      <c r="F5" s="5">
        <v>2</v>
      </c>
      <c r="G5" s="27">
        <v>67</v>
      </c>
      <c r="H5" s="27">
        <v>67</v>
      </c>
      <c r="I5" s="27">
        <v>65</v>
      </c>
      <c r="J5" s="27">
        <v>66</v>
      </c>
      <c r="K5" s="27">
        <v>64</v>
      </c>
      <c r="L5" s="27">
        <v>198</v>
      </c>
      <c r="M5" s="27">
        <v>35</v>
      </c>
      <c r="N5" s="27">
        <v>37</v>
      </c>
      <c r="O5" s="27">
        <v>35</v>
      </c>
      <c r="P5" s="27">
        <v>34</v>
      </c>
      <c r="Q5" s="27">
        <v>34</v>
      </c>
      <c r="R5" s="27">
        <v>35</v>
      </c>
      <c r="S5" s="27">
        <v>37</v>
      </c>
    </row>
    <row r="6" spans="2:19" ht="18" x14ac:dyDescent="0.3">
      <c r="B6" s="1"/>
      <c r="C6" s="1"/>
      <c r="D6" s="1"/>
      <c r="E6" s="1"/>
      <c r="F6" s="5">
        <v>3</v>
      </c>
      <c r="G6" s="27">
        <v>64</v>
      </c>
      <c r="H6" s="27">
        <v>69</v>
      </c>
      <c r="I6" s="27">
        <v>68</v>
      </c>
      <c r="J6" s="27">
        <v>66</v>
      </c>
      <c r="K6" s="27">
        <v>201</v>
      </c>
      <c r="L6" s="27">
        <v>199</v>
      </c>
      <c r="M6" s="27">
        <v>198</v>
      </c>
      <c r="N6" s="27">
        <v>36</v>
      </c>
      <c r="O6" s="27">
        <v>35</v>
      </c>
      <c r="P6" s="27">
        <v>38</v>
      </c>
      <c r="Q6" s="27">
        <v>35</v>
      </c>
      <c r="R6" s="27">
        <v>38</v>
      </c>
      <c r="S6" s="27">
        <v>36</v>
      </c>
    </row>
    <row r="7" spans="2:19" ht="18" x14ac:dyDescent="0.3">
      <c r="B7" s="1"/>
      <c r="C7" s="1"/>
      <c r="D7" s="1"/>
      <c r="E7" s="1"/>
      <c r="F7" s="5">
        <v>4</v>
      </c>
      <c r="G7" s="27">
        <v>67</v>
      </c>
      <c r="H7" s="27">
        <v>64</v>
      </c>
      <c r="I7" s="27">
        <v>64</v>
      </c>
      <c r="J7" s="27">
        <v>199</v>
      </c>
      <c r="K7" s="27">
        <v>198</v>
      </c>
      <c r="L7" s="27">
        <v>201</v>
      </c>
      <c r="M7" s="27">
        <v>202</v>
      </c>
      <c r="N7" s="27">
        <v>199</v>
      </c>
      <c r="O7" s="27">
        <v>200</v>
      </c>
      <c r="P7" s="27">
        <v>36</v>
      </c>
      <c r="Q7" s="27">
        <v>33</v>
      </c>
      <c r="R7" s="27">
        <v>36</v>
      </c>
      <c r="S7" s="27">
        <v>36</v>
      </c>
    </row>
    <row r="8" spans="2:19" ht="18" x14ac:dyDescent="0.3">
      <c r="B8" s="1"/>
      <c r="C8" s="1"/>
      <c r="D8" s="1"/>
      <c r="E8" s="1"/>
      <c r="F8" s="5">
        <v>5</v>
      </c>
      <c r="G8" s="27">
        <v>20</v>
      </c>
      <c r="H8" s="27">
        <v>23</v>
      </c>
      <c r="I8" s="27">
        <v>20</v>
      </c>
      <c r="J8" s="27">
        <v>199</v>
      </c>
      <c r="K8" s="27">
        <v>197</v>
      </c>
      <c r="L8" s="27">
        <v>201</v>
      </c>
      <c r="M8" s="27">
        <v>198</v>
      </c>
      <c r="N8" s="27">
        <v>202</v>
      </c>
      <c r="O8" s="27">
        <v>197</v>
      </c>
      <c r="P8" s="27">
        <v>35</v>
      </c>
      <c r="Q8" s="27">
        <v>34</v>
      </c>
      <c r="R8" s="27">
        <v>37</v>
      </c>
      <c r="S8" s="27">
        <v>37</v>
      </c>
    </row>
    <row r="9" spans="2:19" ht="18" x14ac:dyDescent="0.3">
      <c r="B9" s="1"/>
      <c r="C9" s="1"/>
      <c r="D9" s="1"/>
      <c r="E9" s="1"/>
      <c r="F9" s="5">
        <v>6</v>
      </c>
      <c r="G9" s="27">
        <v>22</v>
      </c>
      <c r="H9" s="27">
        <v>20</v>
      </c>
      <c r="I9" s="27">
        <v>22</v>
      </c>
      <c r="J9" s="27">
        <v>199</v>
      </c>
      <c r="K9" s="27">
        <v>199</v>
      </c>
      <c r="L9" s="27">
        <v>200</v>
      </c>
      <c r="M9" s="27">
        <v>197</v>
      </c>
      <c r="N9" s="27">
        <v>202</v>
      </c>
      <c r="O9" s="27">
        <v>201</v>
      </c>
      <c r="P9" s="27">
        <v>33</v>
      </c>
      <c r="Q9" s="27">
        <v>34</v>
      </c>
      <c r="R9" s="27">
        <v>36</v>
      </c>
      <c r="S9" s="27">
        <v>34</v>
      </c>
    </row>
    <row r="10" spans="2:19" ht="18" x14ac:dyDescent="0.3">
      <c r="B10" s="1"/>
      <c r="C10" s="1"/>
      <c r="D10" s="1"/>
      <c r="E10" s="1"/>
      <c r="F10" s="5">
        <v>7</v>
      </c>
      <c r="G10" s="27">
        <v>19</v>
      </c>
      <c r="H10" s="27">
        <v>22</v>
      </c>
      <c r="I10" s="27">
        <v>20</v>
      </c>
      <c r="J10" s="27">
        <v>202</v>
      </c>
      <c r="K10" s="27">
        <v>200</v>
      </c>
      <c r="L10" s="27">
        <v>201</v>
      </c>
      <c r="M10" s="27">
        <v>198</v>
      </c>
      <c r="N10" s="27">
        <v>202</v>
      </c>
      <c r="O10" s="27">
        <v>201</v>
      </c>
      <c r="P10" s="27">
        <v>36</v>
      </c>
      <c r="Q10" s="27">
        <v>37</v>
      </c>
      <c r="R10" s="27">
        <v>36</v>
      </c>
      <c r="S10" s="27">
        <v>33</v>
      </c>
    </row>
    <row r="11" spans="2:19" ht="18" x14ac:dyDescent="0.3">
      <c r="B11" s="1"/>
      <c r="C11" s="1"/>
      <c r="D11" s="1"/>
      <c r="E11" s="1"/>
      <c r="F11" s="5">
        <v>8</v>
      </c>
      <c r="G11" s="27">
        <v>20</v>
      </c>
      <c r="H11" s="27">
        <v>21</v>
      </c>
      <c r="I11" s="27">
        <v>23</v>
      </c>
      <c r="J11" s="27">
        <v>199</v>
      </c>
      <c r="K11" s="27">
        <v>200</v>
      </c>
      <c r="L11" s="27">
        <v>200</v>
      </c>
      <c r="M11" s="27">
        <v>197</v>
      </c>
      <c r="N11" s="27">
        <v>197</v>
      </c>
      <c r="O11" s="27">
        <v>201</v>
      </c>
      <c r="P11" s="27">
        <v>34</v>
      </c>
      <c r="Q11" s="27">
        <v>36</v>
      </c>
      <c r="R11" s="27">
        <v>35</v>
      </c>
      <c r="S11" s="27">
        <v>33</v>
      </c>
    </row>
    <row r="12" spans="2:19" ht="18" x14ac:dyDescent="0.3">
      <c r="B12" s="1"/>
      <c r="C12" s="1"/>
      <c r="D12" s="1"/>
      <c r="E12" s="1"/>
      <c r="F12" s="5">
        <v>9</v>
      </c>
      <c r="G12" s="27">
        <v>21</v>
      </c>
      <c r="H12" s="27">
        <v>25</v>
      </c>
      <c r="I12" s="27">
        <v>21</v>
      </c>
      <c r="J12" s="27">
        <v>199</v>
      </c>
      <c r="K12" s="27">
        <v>197</v>
      </c>
      <c r="L12" s="27">
        <v>197</v>
      </c>
      <c r="M12" s="27">
        <v>198</v>
      </c>
      <c r="N12" s="27">
        <v>198</v>
      </c>
      <c r="O12" s="27">
        <v>197</v>
      </c>
      <c r="P12" s="27">
        <v>34</v>
      </c>
      <c r="Q12" s="27">
        <v>35</v>
      </c>
      <c r="R12" s="27">
        <v>37</v>
      </c>
      <c r="S12" s="27">
        <v>34</v>
      </c>
    </row>
    <row r="13" spans="2:19" ht="18" x14ac:dyDescent="0.3">
      <c r="B13" s="1"/>
      <c r="C13" s="1"/>
      <c r="D13" s="1"/>
      <c r="E13" s="1"/>
      <c r="F13" s="5">
        <v>10</v>
      </c>
      <c r="G13" s="27">
        <v>23</v>
      </c>
      <c r="H13" s="27">
        <v>22</v>
      </c>
      <c r="I13" s="27">
        <v>23</v>
      </c>
      <c r="J13" s="27">
        <v>71</v>
      </c>
      <c r="K13" s="27">
        <v>70</v>
      </c>
      <c r="L13" s="27">
        <v>70</v>
      </c>
      <c r="M13" s="27">
        <v>72</v>
      </c>
      <c r="N13" s="27">
        <v>69</v>
      </c>
      <c r="O13" s="27">
        <v>70</v>
      </c>
      <c r="P13" s="27">
        <v>34</v>
      </c>
      <c r="Q13" s="27">
        <v>37</v>
      </c>
      <c r="R13" s="27">
        <v>37</v>
      </c>
      <c r="S13" s="27">
        <v>36</v>
      </c>
    </row>
    <row r="14" spans="2:19" ht="18" x14ac:dyDescent="0.3">
      <c r="B14" s="1"/>
      <c r="C14" s="1"/>
      <c r="D14" s="1"/>
      <c r="E14" s="1"/>
      <c r="F14" s="5">
        <v>11</v>
      </c>
      <c r="G14" s="27">
        <v>19</v>
      </c>
      <c r="H14" s="27">
        <v>20</v>
      </c>
      <c r="I14" s="27">
        <v>69</v>
      </c>
      <c r="J14" s="27">
        <v>70</v>
      </c>
      <c r="K14" s="27">
        <v>70</v>
      </c>
      <c r="L14" s="27">
        <v>70</v>
      </c>
      <c r="M14" s="27">
        <v>69</v>
      </c>
      <c r="N14" s="27">
        <v>71</v>
      </c>
      <c r="O14" s="27">
        <v>73</v>
      </c>
      <c r="P14" s="27">
        <v>37</v>
      </c>
      <c r="Q14" s="27">
        <v>36</v>
      </c>
      <c r="R14" s="27">
        <v>34</v>
      </c>
      <c r="S14" s="27">
        <v>36</v>
      </c>
    </row>
    <row r="15" spans="2:19" ht="18" x14ac:dyDescent="0.3">
      <c r="B15" s="1"/>
      <c r="C15" s="1"/>
      <c r="D15" s="1"/>
      <c r="E15" s="1"/>
      <c r="F15" s="5">
        <v>12</v>
      </c>
      <c r="G15" s="27">
        <v>21</v>
      </c>
      <c r="H15" s="27">
        <v>73</v>
      </c>
      <c r="I15" s="27">
        <v>72</v>
      </c>
      <c r="J15" s="27">
        <v>75</v>
      </c>
      <c r="K15" s="27">
        <v>73</v>
      </c>
      <c r="L15" s="27">
        <v>70</v>
      </c>
      <c r="M15" s="27">
        <v>73</v>
      </c>
      <c r="N15" s="27">
        <v>70</v>
      </c>
      <c r="O15" s="27">
        <v>70</v>
      </c>
      <c r="P15" s="27">
        <v>33</v>
      </c>
      <c r="Q15" s="27">
        <v>37</v>
      </c>
      <c r="R15" s="27">
        <v>36</v>
      </c>
      <c r="S15" s="27">
        <v>36</v>
      </c>
    </row>
    <row r="16" spans="2:19" ht="18" x14ac:dyDescent="0.3">
      <c r="B16" s="1"/>
      <c r="C16" s="1"/>
      <c r="D16" s="1"/>
      <c r="E16" s="1"/>
      <c r="F16" s="5"/>
      <c r="G16" s="23"/>
      <c r="H16" s="23"/>
      <c r="I16" s="23"/>
      <c r="J16" s="23"/>
      <c r="K16" s="23"/>
      <c r="L16" s="1" t="s">
        <v>40</v>
      </c>
      <c r="M16" s="23"/>
      <c r="N16" s="23"/>
      <c r="O16" s="23"/>
      <c r="P16" s="23"/>
      <c r="Q16" s="23"/>
      <c r="R16" s="23"/>
      <c r="S16" s="23"/>
    </row>
    <row r="17" spans="1:47" x14ac:dyDescent="0.3">
      <c r="B17" s="1"/>
      <c r="C17" s="1"/>
      <c r="D17" s="1"/>
      <c r="E17" s="1"/>
      <c r="F17" s="1"/>
      <c r="G17" s="1"/>
      <c r="H17" s="1"/>
      <c r="I17" s="1"/>
      <c r="J17" s="1"/>
      <c r="L17" s="1"/>
      <c r="M17" s="1"/>
      <c r="N17" s="1"/>
      <c r="O17" s="1"/>
      <c r="P17" s="1"/>
      <c r="Q17" s="1"/>
      <c r="R17" s="1"/>
      <c r="S17" s="1"/>
    </row>
    <row r="18" spans="1:47" x14ac:dyDescent="0.3">
      <c r="C18" t="s">
        <v>34</v>
      </c>
    </row>
    <row r="19" spans="1:47" x14ac:dyDescent="0.3">
      <c r="C19" t="s">
        <v>4</v>
      </c>
      <c r="D19" s="28">
        <v>-2.0194E-2</v>
      </c>
      <c r="E19" s="28">
        <v>0</v>
      </c>
      <c r="F19" s="28">
        <v>2.0194E-2</v>
      </c>
      <c r="H19" t="s">
        <v>5</v>
      </c>
      <c r="I19" s="28">
        <f>-0.020194</f>
        <v>-2.0194E-2</v>
      </c>
      <c r="J19" s="28">
        <v>-0.45961200000000002</v>
      </c>
      <c r="K19" s="28">
        <v>-2.0194E-2</v>
      </c>
      <c r="N19" s="29">
        <v>2.7487999999999999E-2</v>
      </c>
      <c r="O19" s="29">
        <v>0.110238</v>
      </c>
      <c r="P19" s="29">
        <v>2.7487999999999999E-2</v>
      </c>
      <c r="Q19" s="12"/>
    </row>
    <row r="20" spans="1:47" x14ac:dyDescent="0.3">
      <c r="D20" s="28">
        <v>-0.45961200000000002</v>
      </c>
      <c r="E20" s="28">
        <v>0</v>
      </c>
      <c r="F20" s="28">
        <v>0.45961200000000002</v>
      </c>
      <c r="I20" s="28">
        <v>0</v>
      </c>
      <c r="J20" s="28">
        <v>0</v>
      </c>
      <c r="K20" s="28">
        <v>0</v>
      </c>
      <c r="N20" s="29">
        <v>0.110238</v>
      </c>
      <c r="O20" s="29">
        <v>0.44209599999999999</v>
      </c>
      <c r="P20" s="29">
        <v>0.110238</v>
      </c>
      <c r="Q20" s="12"/>
    </row>
    <row r="21" spans="1:47" x14ac:dyDescent="0.3">
      <c r="D21" s="28">
        <v>-2.0194E-2</v>
      </c>
      <c r="E21" s="28">
        <v>0</v>
      </c>
      <c r="F21" s="28">
        <v>2.0194E-2</v>
      </c>
      <c r="I21" s="28">
        <v>2.0194E-2</v>
      </c>
      <c r="J21" s="28">
        <v>0.45961200000000002</v>
      </c>
      <c r="K21" s="28">
        <v>2.0194E-2</v>
      </c>
      <c r="N21" s="29">
        <v>2.7487999999999999E-2</v>
      </c>
      <c r="O21" s="29">
        <v>0.110238</v>
      </c>
      <c r="P21" s="29">
        <v>2.7487999999999999E-2</v>
      </c>
      <c r="Q21" s="12"/>
    </row>
    <row r="22" spans="1:47" x14ac:dyDescent="0.3">
      <c r="G22" s="25" cm="1">
        <f t="array" ref="G22">SUMPRODUCT(ABS(D19:F21))</f>
        <v>1</v>
      </c>
      <c r="L22" s="25" cm="1">
        <f t="array" ref="L22">SUMPRODUCT(ABS(I19:K21))</f>
        <v>1</v>
      </c>
      <c r="N22" s="12"/>
      <c r="O22" s="12"/>
      <c r="P22" s="12"/>
      <c r="Q22" s="25">
        <f>SUM(N19:P21)</f>
        <v>0.9930000000000001</v>
      </c>
      <c r="R22" s="26" t="s">
        <v>35</v>
      </c>
    </row>
    <row r="25" spans="1:47" x14ac:dyDescent="0.3">
      <c r="A25" s="12"/>
      <c r="B25" s="17" t="s">
        <v>36</v>
      </c>
      <c r="C25" s="12"/>
      <c r="D25" s="12"/>
      <c r="E25" s="12"/>
      <c r="F25" s="12"/>
      <c r="G25" s="12" t="s">
        <v>7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 t="s">
        <v>9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 t="s">
        <v>10</v>
      </c>
      <c r="AL25" s="12"/>
      <c r="AM25" s="12"/>
      <c r="AN25" s="12"/>
      <c r="AO25" s="12"/>
      <c r="AP25" s="12"/>
      <c r="AQ25" s="12"/>
      <c r="AR25" s="12"/>
      <c r="AS25" s="12"/>
      <c r="AT25" s="12"/>
      <c r="AU25" s="12"/>
    </row>
    <row r="26" spans="1:47" x14ac:dyDescent="0.3">
      <c r="A26" s="12"/>
      <c r="B26" s="12"/>
      <c r="C26" s="14">
        <v>0</v>
      </c>
      <c r="D26" s="14">
        <v>1</v>
      </c>
      <c r="E26" s="14">
        <v>2</v>
      </c>
      <c r="F26" s="14">
        <v>3</v>
      </c>
      <c r="G26" s="14">
        <v>4</v>
      </c>
      <c r="H26" s="14">
        <v>5</v>
      </c>
      <c r="I26" s="14">
        <v>6</v>
      </c>
      <c r="J26" s="14">
        <v>7</v>
      </c>
      <c r="K26" s="14">
        <v>8</v>
      </c>
      <c r="L26" s="14">
        <v>9</v>
      </c>
      <c r="M26" s="14">
        <v>10</v>
      </c>
      <c r="N26" s="14">
        <v>11</v>
      </c>
      <c r="O26" s="14">
        <v>12</v>
      </c>
      <c r="P26" s="12"/>
      <c r="Q26" s="12"/>
      <c r="R26" s="12"/>
      <c r="S26" s="14">
        <v>0</v>
      </c>
      <c r="T26" s="14">
        <v>1</v>
      </c>
      <c r="U26" s="14">
        <v>2</v>
      </c>
      <c r="V26" s="14">
        <v>3</v>
      </c>
      <c r="W26" s="14">
        <v>4</v>
      </c>
      <c r="X26" s="14">
        <v>5</v>
      </c>
      <c r="Y26" s="14">
        <v>6</v>
      </c>
      <c r="Z26" s="14">
        <v>7</v>
      </c>
      <c r="AA26" s="14">
        <v>8</v>
      </c>
      <c r="AB26" s="14">
        <v>9</v>
      </c>
      <c r="AC26" s="14">
        <v>10</v>
      </c>
      <c r="AD26" s="14">
        <v>11</v>
      </c>
      <c r="AE26" s="14">
        <v>12</v>
      </c>
      <c r="AF26" s="12"/>
      <c r="AG26" s="12"/>
      <c r="AH26" s="12"/>
      <c r="AI26" s="14">
        <v>0</v>
      </c>
      <c r="AJ26" s="14">
        <v>1</v>
      </c>
      <c r="AK26" s="14">
        <v>2</v>
      </c>
      <c r="AL26" s="14">
        <v>3</v>
      </c>
      <c r="AM26" s="14">
        <v>4</v>
      </c>
      <c r="AN26" s="14">
        <v>5</v>
      </c>
      <c r="AO26" s="14">
        <v>6</v>
      </c>
      <c r="AP26" s="14">
        <v>7</v>
      </c>
      <c r="AQ26" s="14">
        <v>8</v>
      </c>
      <c r="AR26" s="14">
        <v>9</v>
      </c>
      <c r="AS26" s="14">
        <v>10</v>
      </c>
      <c r="AT26" s="14">
        <v>11</v>
      </c>
      <c r="AU26" s="14">
        <v>12</v>
      </c>
    </row>
    <row r="27" spans="1:47" x14ac:dyDescent="0.3">
      <c r="B27" s="14">
        <v>0</v>
      </c>
      <c r="C27" s="30">
        <v>3</v>
      </c>
      <c r="D27" s="30">
        <v>2</v>
      </c>
      <c r="E27" s="30">
        <v>1</v>
      </c>
      <c r="F27" s="30">
        <v>2</v>
      </c>
      <c r="G27" s="30">
        <v>35</v>
      </c>
      <c r="H27" s="30">
        <v>161</v>
      </c>
      <c r="I27" s="30">
        <v>164</v>
      </c>
      <c r="J27" s="30">
        <v>33</v>
      </c>
      <c r="K27" s="30">
        <v>1</v>
      </c>
      <c r="L27" s="30">
        <v>1</v>
      </c>
      <c r="M27" s="30" t="s">
        <v>51</v>
      </c>
      <c r="N27" s="30">
        <v>1</v>
      </c>
      <c r="O27" s="30"/>
      <c r="P27" s="12"/>
      <c r="R27" s="14">
        <v>0</v>
      </c>
      <c r="S27" s="30">
        <v>1</v>
      </c>
      <c r="T27" s="30">
        <v>2</v>
      </c>
      <c r="U27" s="30">
        <v>2</v>
      </c>
      <c r="V27" s="30">
        <v>2</v>
      </c>
      <c r="W27" s="30">
        <v>104</v>
      </c>
      <c r="X27" s="30">
        <v>413</v>
      </c>
      <c r="Y27" s="30">
        <v>104</v>
      </c>
      <c r="Z27" s="30">
        <v>0</v>
      </c>
      <c r="AA27" s="30">
        <v>0</v>
      </c>
      <c r="AB27" s="30">
        <v>0</v>
      </c>
      <c r="AC27" s="30">
        <v>1</v>
      </c>
      <c r="AD27" s="30">
        <v>2</v>
      </c>
      <c r="AE27" s="30">
        <v>1</v>
      </c>
      <c r="AF27" s="12"/>
      <c r="AH27" s="14">
        <v>0</v>
      </c>
      <c r="AI27" s="30">
        <v>0</v>
      </c>
      <c r="AJ27" s="30">
        <v>0</v>
      </c>
      <c r="AK27" s="30">
        <v>-2</v>
      </c>
      <c r="AL27" s="30">
        <v>-1</v>
      </c>
      <c r="AM27" s="30">
        <v>-1</v>
      </c>
      <c r="AN27" s="30">
        <v>-1</v>
      </c>
      <c r="AO27" s="30">
        <v>-2</v>
      </c>
      <c r="AP27" s="30">
        <v>-2</v>
      </c>
      <c r="AQ27" s="30">
        <v>-1</v>
      </c>
      <c r="AR27" s="30">
        <v>0</v>
      </c>
      <c r="AS27" s="30">
        <v>0</v>
      </c>
      <c r="AT27" s="30">
        <v>-1</v>
      </c>
      <c r="AU27" s="30">
        <v>-3</v>
      </c>
    </row>
    <row r="28" spans="1:47" x14ac:dyDescent="0.3">
      <c r="B28" s="14">
        <v>1</v>
      </c>
      <c r="C28" s="30">
        <v>1</v>
      </c>
      <c r="D28" s="30">
        <v>1</v>
      </c>
      <c r="E28" s="30">
        <v>1</v>
      </c>
      <c r="F28" s="30">
        <v>113</v>
      </c>
      <c r="G28" s="30">
        <v>487</v>
      </c>
      <c r="H28" s="30">
        <v>481</v>
      </c>
      <c r="I28" s="30">
        <v>885</v>
      </c>
      <c r="J28" s="30">
        <v>212</v>
      </c>
      <c r="K28" s="30">
        <v>1</v>
      </c>
      <c r="L28" s="30">
        <v>0</v>
      </c>
      <c r="M28" s="30">
        <v>1</v>
      </c>
      <c r="N28" s="30">
        <v>1</v>
      </c>
      <c r="O28" s="30">
        <v>0</v>
      </c>
      <c r="P28" s="12"/>
      <c r="R28" s="14">
        <v>1</v>
      </c>
      <c r="S28" s="30">
        <v>1</v>
      </c>
      <c r="T28" s="30">
        <v>2</v>
      </c>
      <c r="U28" s="30">
        <v>3</v>
      </c>
      <c r="V28" s="30">
        <v>115</v>
      </c>
      <c r="W28" s="30">
        <v>985</v>
      </c>
      <c r="X28" s="30">
        <v>2417</v>
      </c>
      <c r="Y28" s="30">
        <v>1193</v>
      </c>
      <c r="Z28" s="30">
        <v>166</v>
      </c>
      <c r="AA28" s="30">
        <v>0</v>
      </c>
      <c r="AB28" s="30">
        <v>0</v>
      </c>
      <c r="AC28" s="30">
        <v>1</v>
      </c>
      <c r="AD28" s="30">
        <v>2</v>
      </c>
      <c r="AE28" s="30">
        <v>1</v>
      </c>
      <c r="AF28" s="12"/>
      <c r="AH28" s="14">
        <v>1</v>
      </c>
      <c r="AI28" s="30">
        <v>0</v>
      </c>
      <c r="AJ28" s="30">
        <v>0</v>
      </c>
      <c r="AK28" s="30">
        <v>-1</v>
      </c>
      <c r="AL28" s="30">
        <v>-1</v>
      </c>
      <c r="AM28" s="30">
        <v>-1</v>
      </c>
      <c r="AN28" s="30">
        <v>-6</v>
      </c>
      <c r="AO28" s="30">
        <v>-25</v>
      </c>
      <c r="AP28" s="30">
        <v>-10</v>
      </c>
      <c r="AQ28" s="30">
        <v>-1</v>
      </c>
      <c r="AR28" s="30">
        <v>0</v>
      </c>
      <c r="AS28" s="30">
        <v>0</v>
      </c>
      <c r="AT28" s="30">
        <v>-1</v>
      </c>
      <c r="AU28" s="30">
        <v>-1</v>
      </c>
    </row>
    <row r="29" spans="1:47" x14ac:dyDescent="0.3">
      <c r="B29" s="14">
        <v>2</v>
      </c>
      <c r="C29" s="30">
        <v>1</v>
      </c>
      <c r="D29" s="30">
        <v>1</v>
      </c>
      <c r="E29" s="30">
        <v>113</v>
      </c>
      <c r="F29" s="30">
        <v>1006</v>
      </c>
      <c r="G29" s="30">
        <v>2367</v>
      </c>
      <c r="H29" s="30">
        <v>1518</v>
      </c>
      <c r="I29" s="30">
        <v>3582</v>
      </c>
      <c r="J29" s="30">
        <v>1472</v>
      </c>
      <c r="K29" s="30">
        <v>157</v>
      </c>
      <c r="L29" s="30">
        <v>2</v>
      </c>
      <c r="M29" s="30">
        <v>1</v>
      </c>
      <c r="N29" s="30">
        <v>1</v>
      </c>
      <c r="O29" s="30">
        <v>1</v>
      </c>
      <c r="P29" s="12"/>
      <c r="R29" s="14">
        <v>2</v>
      </c>
      <c r="S29" s="30">
        <v>2</v>
      </c>
      <c r="T29" s="30">
        <v>2</v>
      </c>
      <c r="U29" s="30">
        <v>114</v>
      </c>
      <c r="V29" s="30">
        <v>1015</v>
      </c>
      <c r="W29" s="30">
        <v>2962</v>
      </c>
      <c r="X29" s="30">
        <v>3775</v>
      </c>
      <c r="Y29" s="30">
        <v>4115</v>
      </c>
      <c r="Z29" s="30">
        <v>1737</v>
      </c>
      <c r="AA29" s="30">
        <v>874</v>
      </c>
      <c r="AB29" s="30">
        <v>175</v>
      </c>
      <c r="AC29" s="30">
        <v>1</v>
      </c>
      <c r="AD29" s="30">
        <v>2</v>
      </c>
      <c r="AE29" s="30">
        <v>1</v>
      </c>
      <c r="AF29" s="12"/>
      <c r="AH29" s="14">
        <v>2</v>
      </c>
      <c r="AI29" s="30">
        <v>0</v>
      </c>
      <c r="AJ29" s="30">
        <v>0</v>
      </c>
      <c r="AK29" s="30">
        <v>-1</v>
      </c>
      <c r="AL29" s="30">
        <v>-1</v>
      </c>
      <c r="AM29" s="30">
        <v>125</v>
      </c>
      <c r="AN29" s="30">
        <v>482</v>
      </c>
      <c r="AO29" s="30">
        <v>-108</v>
      </c>
      <c r="AP29" s="30">
        <v>-585</v>
      </c>
      <c r="AQ29" s="30">
        <v>-141</v>
      </c>
      <c r="AR29" s="30">
        <v>0</v>
      </c>
      <c r="AS29" s="30">
        <v>0</v>
      </c>
      <c r="AT29" s="30">
        <v>-1</v>
      </c>
      <c r="AU29" s="30">
        <v>-1</v>
      </c>
    </row>
    <row r="30" spans="1:47" x14ac:dyDescent="0.3">
      <c r="B30" s="14">
        <v>3</v>
      </c>
      <c r="C30" s="30">
        <v>3</v>
      </c>
      <c r="D30" s="30">
        <v>120</v>
      </c>
      <c r="E30" s="30">
        <v>1050</v>
      </c>
      <c r="F30" s="30">
        <v>2987</v>
      </c>
      <c r="G30" s="30">
        <v>2827</v>
      </c>
      <c r="H30" s="30">
        <v>1425</v>
      </c>
      <c r="I30" s="30">
        <v>4002</v>
      </c>
      <c r="J30" s="30">
        <v>3498</v>
      </c>
      <c r="K30" s="30">
        <v>1475</v>
      </c>
      <c r="L30" s="30">
        <v>880</v>
      </c>
      <c r="M30" s="30">
        <v>178</v>
      </c>
      <c r="N30" s="30">
        <v>1</v>
      </c>
      <c r="O30" s="30">
        <v>1</v>
      </c>
      <c r="P30" s="12"/>
      <c r="R30" s="14">
        <v>3</v>
      </c>
      <c r="S30" s="30">
        <v>69</v>
      </c>
      <c r="T30" s="30">
        <v>85</v>
      </c>
      <c r="U30" s="30">
        <v>611</v>
      </c>
      <c r="V30" s="30">
        <v>2779</v>
      </c>
      <c r="W30" s="30">
        <v>2955</v>
      </c>
      <c r="X30" s="30">
        <v>1953</v>
      </c>
      <c r="Y30" s="30">
        <v>4522</v>
      </c>
      <c r="Z30" s="30">
        <v>5339</v>
      </c>
      <c r="AA30" s="30">
        <v>4338</v>
      </c>
      <c r="AB30" s="30">
        <v>865</v>
      </c>
      <c r="AC30" s="30">
        <v>2</v>
      </c>
      <c r="AD30" s="30">
        <v>1</v>
      </c>
      <c r="AE30" s="30">
        <v>0</v>
      </c>
      <c r="AF30" s="12"/>
      <c r="AH30" s="14">
        <v>3</v>
      </c>
      <c r="AI30" s="30">
        <v>-1</v>
      </c>
      <c r="AJ30" s="30">
        <v>-2</v>
      </c>
      <c r="AK30" s="30">
        <v>-1</v>
      </c>
      <c r="AL30" s="30">
        <v>120</v>
      </c>
      <c r="AM30" s="30">
        <v>1100</v>
      </c>
      <c r="AN30" s="30">
        <v>2595</v>
      </c>
      <c r="AO30" s="30">
        <v>-107</v>
      </c>
      <c r="AP30" s="30">
        <v>-2857</v>
      </c>
      <c r="AQ30" s="30">
        <v>-1224</v>
      </c>
      <c r="AR30" s="30">
        <v>-167</v>
      </c>
      <c r="AS30" s="30">
        <v>-9</v>
      </c>
      <c r="AT30" s="30">
        <v>0</v>
      </c>
      <c r="AU30" s="30">
        <v>0</v>
      </c>
    </row>
    <row r="31" spans="1:47" x14ac:dyDescent="0.3">
      <c r="B31" s="14">
        <v>4</v>
      </c>
      <c r="C31" s="30">
        <v>2</v>
      </c>
      <c r="D31" s="30">
        <v>684</v>
      </c>
      <c r="E31" s="30">
        <v>3569</v>
      </c>
      <c r="F31" s="30">
        <v>4127</v>
      </c>
      <c r="G31" s="30">
        <v>1286</v>
      </c>
      <c r="H31" s="30">
        <v>285</v>
      </c>
      <c r="I31" s="30">
        <v>839</v>
      </c>
      <c r="J31" s="30">
        <v>1664</v>
      </c>
      <c r="K31" s="30">
        <v>4522</v>
      </c>
      <c r="L31" s="30">
        <v>4436</v>
      </c>
      <c r="M31" s="30">
        <v>890</v>
      </c>
      <c r="N31" s="30">
        <v>1</v>
      </c>
      <c r="O31" s="30">
        <v>0</v>
      </c>
      <c r="P31" s="12"/>
      <c r="R31" s="14">
        <v>4</v>
      </c>
      <c r="S31" s="30">
        <v>342</v>
      </c>
      <c r="T31" s="30">
        <v>412</v>
      </c>
      <c r="U31" s="30">
        <v>809</v>
      </c>
      <c r="V31" s="30">
        <v>2215</v>
      </c>
      <c r="W31" s="30">
        <v>968</v>
      </c>
      <c r="X31" s="30">
        <v>298</v>
      </c>
      <c r="Y31" s="30">
        <v>1593</v>
      </c>
      <c r="Z31" s="30">
        <v>4542</v>
      </c>
      <c r="AA31" s="30">
        <v>4243</v>
      </c>
      <c r="AB31" s="30">
        <v>842</v>
      </c>
      <c r="AC31" s="30">
        <v>1</v>
      </c>
      <c r="AD31" s="30">
        <v>0</v>
      </c>
      <c r="AE31" s="30">
        <v>0</v>
      </c>
      <c r="AF31" s="12"/>
      <c r="AH31" s="14">
        <v>4</v>
      </c>
      <c r="AI31" s="30">
        <v>-4</v>
      </c>
      <c r="AJ31" s="30">
        <v>-7</v>
      </c>
      <c r="AK31" s="30">
        <v>-32</v>
      </c>
      <c r="AL31" s="30">
        <v>496</v>
      </c>
      <c r="AM31" s="30">
        <v>2958</v>
      </c>
      <c r="AN31" s="30">
        <v>2992</v>
      </c>
      <c r="AO31" s="30">
        <v>-55</v>
      </c>
      <c r="AP31" s="30">
        <v>-3129</v>
      </c>
      <c r="AQ31" s="30">
        <v>-2960</v>
      </c>
      <c r="AR31" s="30">
        <v>-1208</v>
      </c>
      <c r="AS31" s="30">
        <v>-191</v>
      </c>
      <c r="AT31" s="30">
        <v>-6</v>
      </c>
      <c r="AU31" s="30">
        <v>0</v>
      </c>
    </row>
    <row r="32" spans="1:47" x14ac:dyDescent="0.3">
      <c r="B32" s="14">
        <v>5</v>
      </c>
      <c r="C32" s="30">
        <v>1</v>
      </c>
      <c r="D32" s="30">
        <v>1177</v>
      </c>
      <c r="E32" s="30">
        <v>5909</v>
      </c>
      <c r="F32" s="30">
        <v>5944</v>
      </c>
      <c r="G32" s="30">
        <v>1191</v>
      </c>
      <c r="H32" s="30">
        <v>2</v>
      </c>
      <c r="I32" s="30">
        <v>3</v>
      </c>
      <c r="J32" s="30">
        <v>1135</v>
      </c>
      <c r="K32" s="30">
        <v>5643</v>
      </c>
      <c r="L32" s="30">
        <v>5553</v>
      </c>
      <c r="M32" s="30">
        <v>1103</v>
      </c>
      <c r="N32" s="30">
        <v>1</v>
      </c>
      <c r="O32" s="30">
        <v>0</v>
      </c>
      <c r="P32" s="12"/>
      <c r="R32" s="14">
        <v>5</v>
      </c>
      <c r="S32" s="30">
        <v>345</v>
      </c>
      <c r="T32" s="30">
        <v>397</v>
      </c>
      <c r="U32" s="30">
        <v>393</v>
      </c>
      <c r="V32" s="30">
        <v>455</v>
      </c>
      <c r="W32" s="30">
        <v>100</v>
      </c>
      <c r="X32" s="30">
        <v>1</v>
      </c>
      <c r="Y32" s="30">
        <v>178</v>
      </c>
      <c r="Z32" s="30">
        <v>866</v>
      </c>
      <c r="AA32" s="30">
        <v>841</v>
      </c>
      <c r="AB32" s="30">
        <v>168</v>
      </c>
      <c r="AC32" s="30">
        <v>1</v>
      </c>
      <c r="AD32" s="30">
        <v>0</v>
      </c>
      <c r="AE32" s="30">
        <v>1</v>
      </c>
      <c r="AF32" s="12"/>
      <c r="AH32" s="14">
        <v>5</v>
      </c>
      <c r="AI32" s="30">
        <v>-16</v>
      </c>
      <c r="AJ32" s="30">
        <v>-30</v>
      </c>
      <c r="AK32" s="30">
        <v>-183</v>
      </c>
      <c r="AL32" s="30">
        <v>-22</v>
      </c>
      <c r="AM32" s="30">
        <v>2288</v>
      </c>
      <c r="AN32" s="30">
        <v>1056</v>
      </c>
      <c r="AO32" s="30">
        <v>-8</v>
      </c>
      <c r="AP32" s="30">
        <v>-660</v>
      </c>
      <c r="AQ32" s="30">
        <v>-1267</v>
      </c>
      <c r="AR32" s="30">
        <v>-2372</v>
      </c>
      <c r="AS32" s="30">
        <v>-656</v>
      </c>
      <c r="AT32" s="30">
        <v>-27</v>
      </c>
      <c r="AU32" s="30">
        <v>0</v>
      </c>
    </row>
    <row r="33" spans="1:47" x14ac:dyDescent="0.3">
      <c r="B33" s="14">
        <v>6</v>
      </c>
      <c r="C33" s="30">
        <v>1</v>
      </c>
      <c r="D33" s="30">
        <v>1314</v>
      </c>
      <c r="E33" s="30">
        <v>6566</v>
      </c>
      <c r="F33" s="30">
        <v>6518</v>
      </c>
      <c r="G33" s="30">
        <v>1298</v>
      </c>
      <c r="H33" s="30">
        <v>1</v>
      </c>
      <c r="I33" s="30">
        <v>1</v>
      </c>
      <c r="J33" s="30">
        <v>1168</v>
      </c>
      <c r="K33" s="30">
        <v>5811</v>
      </c>
      <c r="L33" s="30">
        <v>5716</v>
      </c>
      <c r="M33" s="30">
        <v>1136</v>
      </c>
      <c r="N33" s="30">
        <v>1</v>
      </c>
      <c r="O33" s="30">
        <v>1</v>
      </c>
      <c r="P33" s="12"/>
      <c r="R33" s="14">
        <v>6</v>
      </c>
      <c r="S33" s="30">
        <v>69</v>
      </c>
      <c r="T33" s="30">
        <v>79</v>
      </c>
      <c r="U33" s="30">
        <v>59</v>
      </c>
      <c r="V33" s="30">
        <v>12</v>
      </c>
      <c r="W33" s="30">
        <v>1</v>
      </c>
      <c r="X33" s="30">
        <v>0</v>
      </c>
      <c r="Y33" s="30">
        <v>1</v>
      </c>
      <c r="Z33" s="30">
        <v>1</v>
      </c>
      <c r="AA33" s="30">
        <v>2</v>
      </c>
      <c r="AB33" s="30">
        <v>1</v>
      </c>
      <c r="AC33" s="30">
        <v>1</v>
      </c>
      <c r="AD33" s="30">
        <v>1</v>
      </c>
      <c r="AE33" s="30">
        <v>2</v>
      </c>
      <c r="AF33" s="12"/>
      <c r="AH33" s="14">
        <v>6</v>
      </c>
      <c r="AI33" s="30">
        <v>-15</v>
      </c>
      <c r="AJ33" s="30">
        <v>-22</v>
      </c>
      <c r="AK33" s="30">
        <v>-238</v>
      </c>
      <c r="AL33" s="30">
        <v>-731</v>
      </c>
      <c r="AM33" s="30">
        <v>258</v>
      </c>
      <c r="AN33" s="30">
        <v>117</v>
      </c>
      <c r="AO33" s="30">
        <v>0</v>
      </c>
      <c r="AP33" s="30">
        <v>-5</v>
      </c>
      <c r="AQ33" s="30">
        <v>-150</v>
      </c>
      <c r="AR33" s="30">
        <v>-568</v>
      </c>
      <c r="AS33" s="30">
        <v>-230</v>
      </c>
      <c r="AT33" s="30">
        <v>-24</v>
      </c>
      <c r="AU33" s="30">
        <v>1</v>
      </c>
    </row>
    <row r="34" spans="1:47" x14ac:dyDescent="0.3">
      <c r="B34" s="14">
        <v>7</v>
      </c>
      <c r="C34" s="30">
        <v>1</v>
      </c>
      <c r="D34" s="30">
        <v>1330</v>
      </c>
      <c r="E34" s="30">
        <v>6652</v>
      </c>
      <c r="F34" s="30">
        <v>6629</v>
      </c>
      <c r="G34" s="30">
        <v>1322</v>
      </c>
      <c r="H34" s="30">
        <v>1</v>
      </c>
      <c r="I34" s="30">
        <v>1</v>
      </c>
      <c r="J34" s="30">
        <v>1140</v>
      </c>
      <c r="K34" s="30">
        <v>5685</v>
      </c>
      <c r="L34" s="30">
        <v>5632</v>
      </c>
      <c r="M34" s="30">
        <v>1121</v>
      </c>
      <c r="N34" s="30">
        <v>2</v>
      </c>
      <c r="O34" s="30">
        <v>2</v>
      </c>
      <c r="P34" s="12"/>
      <c r="R34" s="14">
        <v>7</v>
      </c>
      <c r="S34" s="30">
        <v>1</v>
      </c>
      <c r="T34" s="30">
        <v>1</v>
      </c>
      <c r="U34" s="30">
        <v>0</v>
      </c>
      <c r="V34" s="30">
        <v>1</v>
      </c>
      <c r="W34" s="30">
        <v>1</v>
      </c>
      <c r="X34" s="30">
        <v>1</v>
      </c>
      <c r="Y34" s="30">
        <v>1</v>
      </c>
      <c r="Z34" s="30">
        <v>3</v>
      </c>
      <c r="AA34" s="30">
        <v>2</v>
      </c>
      <c r="AB34" s="30">
        <v>1</v>
      </c>
      <c r="AC34" s="30">
        <v>1</v>
      </c>
      <c r="AD34" s="30">
        <v>0</v>
      </c>
      <c r="AE34" s="30">
        <v>1</v>
      </c>
      <c r="AF34" s="12"/>
      <c r="AH34" s="14">
        <v>7</v>
      </c>
      <c r="AI34" s="30">
        <v>-3</v>
      </c>
      <c r="AJ34" s="30">
        <v>-4</v>
      </c>
      <c r="AK34" s="30">
        <v>-50</v>
      </c>
      <c r="AL34" s="30">
        <v>-176</v>
      </c>
      <c r="AM34" s="30">
        <v>-8</v>
      </c>
      <c r="AN34" s="30">
        <v>9</v>
      </c>
      <c r="AO34" s="30">
        <v>1</v>
      </c>
      <c r="AP34" s="30">
        <v>0</v>
      </c>
      <c r="AQ34" s="30">
        <v>2</v>
      </c>
      <c r="AR34" s="30">
        <v>-2</v>
      </c>
      <c r="AS34" s="30">
        <v>-38</v>
      </c>
      <c r="AT34" s="30">
        <v>-11</v>
      </c>
      <c r="AU34" s="30">
        <v>-1</v>
      </c>
    </row>
    <row r="35" spans="1:47" x14ac:dyDescent="0.3">
      <c r="B35" s="14">
        <v>8</v>
      </c>
      <c r="C35" s="30">
        <v>1</v>
      </c>
      <c r="D35" s="30">
        <v>1292</v>
      </c>
      <c r="E35" s="30">
        <v>6466</v>
      </c>
      <c r="F35" s="30">
        <v>6452</v>
      </c>
      <c r="G35" s="30">
        <v>1287</v>
      </c>
      <c r="H35" s="30">
        <v>1</v>
      </c>
      <c r="I35" s="30">
        <v>2</v>
      </c>
      <c r="J35" s="30">
        <v>1098</v>
      </c>
      <c r="K35" s="30">
        <v>5500</v>
      </c>
      <c r="L35" s="30">
        <v>5521</v>
      </c>
      <c r="M35" s="30">
        <v>1104</v>
      </c>
      <c r="N35" s="30">
        <v>2</v>
      </c>
      <c r="O35" s="30">
        <v>1</v>
      </c>
      <c r="P35" s="12"/>
      <c r="R35" s="14">
        <v>8</v>
      </c>
      <c r="S35" s="30">
        <v>1</v>
      </c>
      <c r="T35" s="30">
        <v>1</v>
      </c>
      <c r="U35" s="30">
        <v>105</v>
      </c>
      <c r="V35" s="30">
        <v>534</v>
      </c>
      <c r="W35" s="30">
        <v>686</v>
      </c>
      <c r="X35" s="30">
        <v>690</v>
      </c>
      <c r="Y35" s="30">
        <v>662</v>
      </c>
      <c r="Z35" s="30">
        <v>670</v>
      </c>
      <c r="AA35" s="30">
        <v>550</v>
      </c>
      <c r="AB35" s="30">
        <v>110</v>
      </c>
      <c r="AC35" s="30">
        <v>1</v>
      </c>
      <c r="AD35" s="30">
        <v>0</v>
      </c>
      <c r="AE35" s="30">
        <v>0</v>
      </c>
      <c r="AF35" s="12"/>
      <c r="AH35" s="14">
        <v>8</v>
      </c>
      <c r="AI35" s="30">
        <v>0</v>
      </c>
      <c r="AJ35" s="30">
        <v>1</v>
      </c>
      <c r="AK35" s="30">
        <v>3</v>
      </c>
      <c r="AL35" s="30">
        <v>12</v>
      </c>
      <c r="AM35" s="30">
        <v>12</v>
      </c>
      <c r="AN35" s="30">
        <v>2</v>
      </c>
      <c r="AO35" s="30">
        <v>1</v>
      </c>
      <c r="AP35" s="30">
        <v>0</v>
      </c>
      <c r="AQ35" s="30">
        <v>7</v>
      </c>
      <c r="AR35" s="30">
        <v>37</v>
      </c>
      <c r="AS35" s="30">
        <v>31</v>
      </c>
      <c r="AT35" s="30">
        <v>6</v>
      </c>
      <c r="AU35" s="30">
        <v>0</v>
      </c>
    </row>
    <row r="36" spans="1:47" x14ac:dyDescent="0.3">
      <c r="B36" s="14">
        <v>9</v>
      </c>
      <c r="C36" s="30">
        <v>2</v>
      </c>
      <c r="D36" s="30">
        <v>1027</v>
      </c>
      <c r="E36" s="30">
        <v>5151</v>
      </c>
      <c r="F36" s="30">
        <v>5185</v>
      </c>
      <c r="G36" s="30">
        <v>1038</v>
      </c>
      <c r="H36" s="30">
        <v>1</v>
      </c>
      <c r="I36" s="30">
        <v>1</v>
      </c>
      <c r="J36" s="30">
        <v>889</v>
      </c>
      <c r="K36" s="30">
        <v>4439</v>
      </c>
      <c r="L36" s="30">
        <v>4400</v>
      </c>
      <c r="M36" s="30">
        <v>877</v>
      </c>
      <c r="N36" s="30">
        <v>1</v>
      </c>
      <c r="O36" s="30">
        <v>1</v>
      </c>
      <c r="P36" s="12"/>
      <c r="R36" s="14">
        <v>9</v>
      </c>
      <c r="S36" s="30">
        <v>1</v>
      </c>
      <c r="T36" s="30">
        <v>12</v>
      </c>
      <c r="U36" s="30">
        <v>563</v>
      </c>
      <c r="V36" s="30">
        <v>2666</v>
      </c>
      <c r="W36" s="30">
        <v>3405</v>
      </c>
      <c r="X36" s="30">
        <v>3431</v>
      </c>
      <c r="Y36" s="30">
        <v>3331</v>
      </c>
      <c r="Z36" s="30">
        <v>3334</v>
      </c>
      <c r="AA36" s="30">
        <v>2697</v>
      </c>
      <c r="AB36" s="30">
        <v>535</v>
      </c>
      <c r="AC36" s="30">
        <v>1</v>
      </c>
      <c r="AD36" s="30">
        <v>1</v>
      </c>
      <c r="AE36" s="30">
        <v>1</v>
      </c>
      <c r="AF36" s="12"/>
      <c r="AH36" s="14">
        <v>9</v>
      </c>
      <c r="AI36" s="30">
        <v>1</v>
      </c>
      <c r="AJ36" s="30">
        <v>1</v>
      </c>
      <c r="AK36" s="30">
        <v>3</v>
      </c>
      <c r="AL36" s="30">
        <v>-111</v>
      </c>
      <c r="AM36" s="30">
        <v>-488</v>
      </c>
      <c r="AN36" s="30">
        <v>-133</v>
      </c>
      <c r="AO36" s="30">
        <v>-3</v>
      </c>
      <c r="AP36" s="30">
        <v>-3</v>
      </c>
      <c r="AQ36" s="30">
        <v>92</v>
      </c>
      <c r="AR36" s="30">
        <v>398</v>
      </c>
      <c r="AS36" s="30">
        <v>114</v>
      </c>
      <c r="AT36" s="30">
        <v>4</v>
      </c>
      <c r="AU36" s="30">
        <v>1</v>
      </c>
    </row>
    <row r="37" spans="1:47" x14ac:dyDescent="0.3">
      <c r="B37" s="14">
        <v>10</v>
      </c>
      <c r="C37" s="30">
        <v>17</v>
      </c>
      <c r="D37" s="30">
        <v>357</v>
      </c>
      <c r="E37" s="30">
        <v>1462</v>
      </c>
      <c r="F37" s="30">
        <v>1378</v>
      </c>
      <c r="G37" s="30">
        <v>271</v>
      </c>
      <c r="H37" s="30">
        <v>0</v>
      </c>
      <c r="I37" s="30">
        <v>0</v>
      </c>
      <c r="J37" s="30">
        <v>226</v>
      </c>
      <c r="K37" s="30">
        <v>1124</v>
      </c>
      <c r="L37" s="30">
        <v>1104</v>
      </c>
      <c r="M37" s="30">
        <v>220</v>
      </c>
      <c r="N37" s="30">
        <v>1</v>
      </c>
      <c r="O37" s="30">
        <v>0</v>
      </c>
      <c r="P37" s="12"/>
      <c r="R37" s="14">
        <v>10</v>
      </c>
      <c r="S37" s="30">
        <v>17</v>
      </c>
      <c r="T37" s="30">
        <v>123</v>
      </c>
      <c r="U37" s="30">
        <v>757</v>
      </c>
      <c r="V37" s="30">
        <v>2674</v>
      </c>
      <c r="W37" s="30">
        <v>3324</v>
      </c>
      <c r="X37" s="30">
        <v>3376</v>
      </c>
      <c r="Y37" s="30">
        <v>3385</v>
      </c>
      <c r="Z37" s="30">
        <v>3297</v>
      </c>
      <c r="AA37" s="30">
        <v>2557</v>
      </c>
      <c r="AB37" s="30">
        <v>500</v>
      </c>
      <c r="AC37" s="30">
        <v>1</v>
      </c>
      <c r="AD37" s="30">
        <v>1</v>
      </c>
      <c r="AE37" s="30">
        <v>1</v>
      </c>
      <c r="AF37" s="12"/>
      <c r="AH37" s="14">
        <v>10</v>
      </c>
      <c r="AI37" s="30">
        <v>0</v>
      </c>
      <c r="AJ37" s="30">
        <v>0</v>
      </c>
      <c r="AK37" s="30">
        <v>3</v>
      </c>
      <c r="AL37" s="30">
        <v>-527</v>
      </c>
      <c r="AM37" s="30">
        <v>-2160</v>
      </c>
      <c r="AN37" s="30">
        <v>-597</v>
      </c>
      <c r="AO37" s="30">
        <v>-22</v>
      </c>
      <c r="AP37" s="30">
        <v>-10</v>
      </c>
      <c r="AQ37" s="30">
        <v>384</v>
      </c>
      <c r="AR37" s="30">
        <v>1663</v>
      </c>
      <c r="AS37" s="30">
        <v>448</v>
      </c>
      <c r="AT37" s="30">
        <v>8</v>
      </c>
      <c r="AU37" s="30">
        <v>0</v>
      </c>
    </row>
    <row r="38" spans="1:47" x14ac:dyDescent="0.3">
      <c r="B38" s="14">
        <v>11</v>
      </c>
      <c r="C38" s="30">
        <v>151</v>
      </c>
      <c r="D38" s="30">
        <v>428</v>
      </c>
      <c r="E38" s="30">
        <v>435</v>
      </c>
      <c r="F38" s="30">
        <v>155</v>
      </c>
      <c r="G38" s="30">
        <v>18</v>
      </c>
      <c r="H38" s="30">
        <v>0</v>
      </c>
      <c r="I38" s="30">
        <v>1</v>
      </c>
      <c r="J38" s="30">
        <v>54</v>
      </c>
      <c r="K38" s="30">
        <v>266</v>
      </c>
      <c r="L38" s="30">
        <v>272</v>
      </c>
      <c r="M38" s="30">
        <v>56</v>
      </c>
      <c r="N38" s="30">
        <v>0</v>
      </c>
      <c r="O38" s="30">
        <v>0</v>
      </c>
      <c r="P38" s="12"/>
      <c r="R38" s="14">
        <v>11</v>
      </c>
      <c r="S38" s="30">
        <v>83</v>
      </c>
      <c r="T38" s="30">
        <v>401</v>
      </c>
      <c r="U38" s="30">
        <v>474</v>
      </c>
      <c r="V38" s="30">
        <v>596</v>
      </c>
      <c r="W38" s="30">
        <v>660</v>
      </c>
      <c r="X38" s="30">
        <v>671</v>
      </c>
      <c r="Y38" s="30">
        <v>680</v>
      </c>
      <c r="Z38" s="30">
        <v>656</v>
      </c>
      <c r="AA38" s="30">
        <v>501</v>
      </c>
      <c r="AB38" s="30">
        <v>98</v>
      </c>
      <c r="AC38" s="30">
        <v>0</v>
      </c>
      <c r="AD38" s="30">
        <v>0</v>
      </c>
      <c r="AE38" s="30">
        <v>0</v>
      </c>
      <c r="AF38" s="12"/>
      <c r="AH38" s="14">
        <v>11</v>
      </c>
      <c r="AI38" s="30">
        <v>-1</v>
      </c>
      <c r="AJ38" s="30">
        <v>1</v>
      </c>
      <c r="AK38" s="30">
        <v>143</v>
      </c>
      <c r="AL38" s="30">
        <v>228</v>
      </c>
      <c r="AM38" s="30">
        <v>-1142</v>
      </c>
      <c r="AN38" s="30">
        <v>-382</v>
      </c>
      <c r="AO38" s="30">
        <v>-40</v>
      </c>
      <c r="AP38" s="30">
        <v>-14</v>
      </c>
      <c r="AQ38" s="30">
        <v>173</v>
      </c>
      <c r="AR38" s="30">
        <v>814</v>
      </c>
      <c r="AS38" s="30">
        <v>227</v>
      </c>
      <c r="AT38" s="30">
        <v>6</v>
      </c>
      <c r="AU38" s="30">
        <v>0</v>
      </c>
    </row>
    <row r="39" spans="1:47" x14ac:dyDescent="0.3">
      <c r="B39" s="14">
        <v>12</v>
      </c>
      <c r="C39" s="30">
        <v>363</v>
      </c>
      <c r="D39" s="30">
        <v>436</v>
      </c>
      <c r="E39" s="30">
        <v>153</v>
      </c>
      <c r="F39" s="30">
        <v>17</v>
      </c>
      <c r="G39" s="30">
        <v>3</v>
      </c>
      <c r="H39" s="30">
        <v>1</v>
      </c>
      <c r="I39" s="30">
        <v>0</v>
      </c>
      <c r="J39" s="30">
        <v>47</v>
      </c>
      <c r="K39" s="30">
        <v>222</v>
      </c>
      <c r="L39" s="30">
        <v>204</v>
      </c>
      <c r="M39" s="30">
        <v>41</v>
      </c>
      <c r="N39" s="30">
        <v>0</v>
      </c>
      <c r="O39" s="30">
        <v>0</v>
      </c>
      <c r="P39" s="12"/>
      <c r="R39" s="14">
        <v>12</v>
      </c>
      <c r="S39" s="30">
        <v>84</v>
      </c>
      <c r="T39" s="30">
        <v>347</v>
      </c>
      <c r="U39" s="30">
        <v>148</v>
      </c>
      <c r="V39" s="30">
        <v>20</v>
      </c>
      <c r="W39" s="30">
        <v>2</v>
      </c>
      <c r="X39" s="30">
        <v>1</v>
      </c>
      <c r="Y39" s="30">
        <v>2</v>
      </c>
      <c r="Z39" s="30">
        <v>1</v>
      </c>
      <c r="AA39" s="30">
        <v>1</v>
      </c>
      <c r="AB39" s="30">
        <v>2</v>
      </c>
      <c r="AC39" s="30">
        <v>1</v>
      </c>
      <c r="AD39" s="30">
        <v>0</v>
      </c>
      <c r="AE39" s="30">
        <v>0</v>
      </c>
      <c r="AF39" s="12"/>
      <c r="AH39" s="14">
        <v>12</v>
      </c>
      <c r="AI39" s="30">
        <v>-1</v>
      </c>
      <c r="AJ39" s="30">
        <v>6</v>
      </c>
      <c r="AK39" s="30">
        <v>178</v>
      </c>
      <c r="AL39" s="30">
        <v>553</v>
      </c>
      <c r="AM39" s="30">
        <v>-48</v>
      </c>
      <c r="AN39" s="30">
        <v>-62</v>
      </c>
      <c r="AO39" s="30">
        <v>-9</v>
      </c>
      <c r="AP39" s="30">
        <v>-3</v>
      </c>
      <c r="AQ39" s="30">
        <v>21</v>
      </c>
      <c r="AR39" s="30">
        <v>106</v>
      </c>
      <c r="AS39" s="30">
        <v>30</v>
      </c>
      <c r="AT39" s="30">
        <v>1</v>
      </c>
      <c r="AU39" s="30">
        <v>0</v>
      </c>
    </row>
    <row r="40" spans="1:47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</row>
    <row r="42" spans="1:47" x14ac:dyDescent="0.3">
      <c r="A42" s="12"/>
      <c r="B42" s="12"/>
      <c r="C42" s="12"/>
      <c r="D42" s="12" t="s">
        <v>15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 t="s">
        <v>23</v>
      </c>
      <c r="X42" s="12"/>
      <c r="Y42" s="12"/>
      <c r="Z42" s="12"/>
      <c r="AA42" s="12"/>
      <c r="AB42" s="12"/>
      <c r="AC42" s="12"/>
      <c r="AD42" s="12"/>
      <c r="AE42" s="12"/>
    </row>
    <row r="43" spans="1:47" x14ac:dyDescent="0.3">
      <c r="A43" s="12"/>
      <c r="B43" s="12"/>
      <c r="C43" s="14">
        <v>0</v>
      </c>
      <c r="D43" s="14">
        <v>1</v>
      </c>
      <c r="E43" s="14">
        <v>2</v>
      </c>
      <c r="F43" s="14">
        <v>3</v>
      </c>
      <c r="G43" s="14">
        <v>4</v>
      </c>
      <c r="H43" s="14">
        <v>5</v>
      </c>
      <c r="I43" s="14">
        <v>6</v>
      </c>
      <c r="J43" s="14">
        <v>7</v>
      </c>
      <c r="K43" s="14">
        <v>8</v>
      </c>
      <c r="L43" s="14">
        <v>9</v>
      </c>
      <c r="M43" s="14">
        <v>10</v>
      </c>
      <c r="N43" s="14">
        <v>11</v>
      </c>
      <c r="O43" s="14">
        <v>12</v>
      </c>
      <c r="P43" s="12"/>
      <c r="Q43" s="12"/>
      <c r="R43" s="12"/>
      <c r="S43" s="14">
        <v>0</v>
      </c>
      <c r="T43" s="14">
        <v>1</v>
      </c>
      <c r="U43" s="14">
        <v>2</v>
      </c>
      <c r="V43" s="14">
        <v>3</v>
      </c>
      <c r="W43" s="14">
        <v>4</v>
      </c>
      <c r="X43" s="14">
        <v>5</v>
      </c>
      <c r="Y43" s="14">
        <v>6</v>
      </c>
      <c r="Z43" s="14">
        <v>7</v>
      </c>
      <c r="AA43" s="14">
        <v>8</v>
      </c>
      <c r="AB43" s="14">
        <v>9</v>
      </c>
      <c r="AC43" s="14">
        <v>10</v>
      </c>
      <c r="AD43" s="14">
        <v>11</v>
      </c>
      <c r="AE43" s="14">
        <v>12</v>
      </c>
    </row>
    <row r="44" spans="1:47" x14ac:dyDescent="0.3">
      <c r="B44" s="14">
        <v>0</v>
      </c>
      <c r="C44" s="31"/>
      <c r="D44" s="31">
        <v>0</v>
      </c>
      <c r="E44" s="31">
        <v>0</v>
      </c>
      <c r="F44" s="31">
        <v>1</v>
      </c>
      <c r="G44" s="31">
        <v>-1</v>
      </c>
      <c r="H44" s="31">
        <v>-1</v>
      </c>
      <c r="I44" s="31">
        <v>-4</v>
      </c>
      <c r="J44" s="31">
        <v>-4</v>
      </c>
      <c r="K44" s="31">
        <v>-1</v>
      </c>
      <c r="L44" s="31">
        <v>0</v>
      </c>
      <c r="M44" s="31">
        <v>0</v>
      </c>
      <c r="N44" s="31">
        <v>0</v>
      </c>
      <c r="O44" s="31">
        <v>-5</v>
      </c>
      <c r="P44" s="12"/>
      <c r="R44" s="14">
        <v>0</v>
      </c>
      <c r="S44" s="32">
        <v>0</v>
      </c>
      <c r="T44" s="32">
        <v>1</v>
      </c>
      <c r="U44" s="32">
        <v>25</v>
      </c>
      <c r="V44" s="32">
        <v>9</v>
      </c>
      <c r="W44" s="32">
        <v>1</v>
      </c>
      <c r="X44" s="32">
        <v>4</v>
      </c>
      <c r="Y44" s="32">
        <v>81</v>
      </c>
      <c r="Z44" s="32">
        <v>100</v>
      </c>
      <c r="AA44" s="32">
        <v>4</v>
      </c>
      <c r="AB44" s="32">
        <v>1</v>
      </c>
      <c r="AC44" s="32">
        <v>4</v>
      </c>
      <c r="AD44" s="32">
        <v>4</v>
      </c>
      <c r="AE44" s="32">
        <v>25</v>
      </c>
    </row>
    <row r="45" spans="1:47" x14ac:dyDescent="0.3">
      <c r="B45" s="14">
        <v>1</v>
      </c>
      <c r="C45" s="31">
        <v>0</v>
      </c>
      <c r="D45" s="31">
        <v>1</v>
      </c>
      <c r="E45" s="31">
        <v>1</v>
      </c>
      <c r="F45" s="31">
        <v>-1</v>
      </c>
      <c r="G45" s="31">
        <v>-1</v>
      </c>
      <c r="H45" s="31">
        <v>200</v>
      </c>
      <c r="I45" s="31">
        <v>3119</v>
      </c>
      <c r="J45" s="31">
        <v>1670</v>
      </c>
      <c r="K45" s="31">
        <v>3</v>
      </c>
      <c r="L45" s="31">
        <v>0</v>
      </c>
      <c r="M45" s="31">
        <v>0</v>
      </c>
      <c r="N45" s="31">
        <v>1</v>
      </c>
      <c r="O45" s="31">
        <v>1</v>
      </c>
      <c r="P45" s="12"/>
      <c r="R45" s="14">
        <v>1</v>
      </c>
      <c r="S45" s="32">
        <v>1</v>
      </c>
      <c r="T45" s="32">
        <v>4</v>
      </c>
      <c r="U45" s="32">
        <v>9</v>
      </c>
      <c r="V45" s="32">
        <v>4</v>
      </c>
      <c r="W45" s="32">
        <v>4</v>
      </c>
      <c r="X45" s="32">
        <v>14400</v>
      </c>
      <c r="Y45" s="32">
        <v>226576</v>
      </c>
      <c r="Z45" s="32">
        <v>17689</v>
      </c>
      <c r="AA45" s="32">
        <v>25</v>
      </c>
      <c r="AB45" s="32">
        <v>1</v>
      </c>
      <c r="AC45" s="32">
        <v>1</v>
      </c>
      <c r="AD45" s="32">
        <v>9</v>
      </c>
      <c r="AE45" s="32">
        <v>9</v>
      </c>
    </row>
    <row r="46" spans="1:47" x14ac:dyDescent="0.3">
      <c r="B46" s="14">
        <v>2</v>
      </c>
      <c r="C46" s="31">
        <v>0</v>
      </c>
      <c r="D46" s="31">
        <v>3</v>
      </c>
      <c r="E46" s="31">
        <v>4</v>
      </c>
      <c r="F46" s="31">
        <v>-1</v>
      </c>
      <c r="G46" s="31">
        <v>503</v>
      </c>
      <c r="H46" s="31">
        <v>327996</v>
      </c>
      <c r="I46" s="31">
        <v>715184</v>
      </c>
      <c r="J46" s="31">
        <v>318372</v>
      </c>
      <c r="K46" s="31">
        <v>691</v>
      </c>
      <c r="L46" s="31">
        <v>3</v>
      </c>
      <c r="M46" s="31">
        <v>0</v>
      </c>
      <c r="N46" s="31">
        <v>-1</v>
      </c>
      <c r="O46" s="31">
        <v>-1</v>
      </c>
      <c r="P46" s="12"/>
      <c r="R46" s="14">
        <v>2</v>
      </c>
      <c r="S46" s="32">
        <v>9</v>
      </c>
      <c r="T46" s="32">
        <v>16</v>
      </c>
      <c r="U46" s="32">
        <v>36</v>
      </c>
      <c r="V46" s="32">
        <v>25</v>
      </c>
      <c r="W46" s="32">
        <v>64516</v>
      </c>
      <c r="X46" s="32">
        <v>2569609</v>
      </c>
      <c r="Y46" s="32">
        <v>8415801</v>
      </c>
      <c r="Z46" s="32">
        <v>2951524</v>
      </c>
      <c r="AA46" s="32">
        <v>82369</v>
      </c>
      <c r="AB46" s="32">
        <v>16</v>
      </c>
      <c r="AC46" s="32">
        <v>0</v>
      </c>
      <c r="AD46" s="32">
        <v>0</v>
      </c>
      <c r="AE46" s="32">
        <v>1</v>
      </c>
    </row>
    <row r="47" spans="1:47" x14ac:dyDescent="0.3">
      <c r="B47" s="14">
        <v>3</v>
      </c>
      <c r="C47" s="31">
        <v>-1</v>
      </c>
      <c r="D47" s="31">
        <v>1</v>
      </c>
      <c r="E47" s="31">
        <v>5</v>
      </c>
      <c r="F47" s="31">
        <v>484</v>
      </c>
      <c r="G47" s="31">
        <v>3282</v>
      </c>
      <c r="H47" s="31">
        <v>1677282</v>
      </c>
      <c r="I47" s="31">
        <v>4868119</v>
      </c>
      <c r="J47" s="31">
        <v>1672799</v>
      </c>
      <c r="K47" s="31">
        <v>146804</v>
      </c>
      <c r="L47" s="31">
        <v>60236</v>
      </c>
      <c r="M47" s="31">
        <v>58</v>
      </c>
      <c r="N47" s="31">
        <v>0</v>
      </c>
      <c r="O47" s="31">
        <v>0</v>
      </c>
      <c r="P47" s="12"/>
      <c r="R47" s="14">
        <v>3</v>
      </c>
      <c r="S47" s="32">
        <v>9</v>
      </c>
      <c r="T47" s="32">
        <v>36</v>
      </c>
      <c r="U47" s="32">
        <v>25</v>
      </c>
      <c r="V47" s="32">
        <v>59536</v>
      </c>
      <c r="W47" s="32">
        <v>4853209</v>
      </c>
      <c r="X47" s="32">
        <v>33965584</v>
      </c>
      <c r="Y47" s="32">
        <v>25462116</v>
      </c>
      <c r="Z47" s="32">
        <v>39740416</v>
      </c>
      <c r="AA47" s="32">
        <v>6640929</v>
      </c>
      <c r="AB47" s="32">
        <v>688900</v>
      </c>
      <c r="AC47" s="32">
        <v>19600</v>
      </c>
      <c r="AD47" s="32">
        <v>0</v>
      </c>
      <c r="AE47" s="32">
        <v>0</v>
      </c>
    </row>
    <row r="48" spans="1:47" x14ac:dyDescent="0.3">
      <c r="B48" s="14">
        <v>4</v>
      </c>
      <c r="C48" s="31">
        <v>-16</v>
      </c>
      <c r="D48" s="31">
        <v>73</v>
      </c>
      <c r="E48" s="31">
        <v>5976</v>
      </c>
      <c r="F48" s="31">
        <v>431495</v>
      </c>
      <c r="G48" s="31">
        <v>529836</v>
      </c>
      <c r="H48" s="31">
        <v>390692</v>
      </c>
      <c r="I48" s="31">
        <v>2154335</v>
      </c>
      <c r="J48" s="31">
        <v>715573</v>
      </c>
      <c r="K48" s="31">
        <v>2589323</v>
      </c>
      <c r="L48" s="31">
        <v>2544736</v>
      </c>
      <c r="M48" s="31">
        <v>422842</v>
      </c>
      <c r="N48" s="31">
        <v>228</v>
      </c>
      <c r="O48" s="31">
        <v>0</v>
      </c>
      <c r="P48" s="12"/>
      <c r="R48" s="14">
        <v>4</v>
      </c>
      <c r="S48" s="32">
        <v>2916</v>
      </c>
      <c r="T48" s="32">
        <v>3969</v>
      </c>
      <c r="U48" s="32">
        <v>32761</v>
      </c>
      <c r="V48" s="32">
        <v>2930944</v>
      </c>
      <c r="W48" s="32">
        <v>37149024</v>
      </c>
      <c r="X48" s="32">
        <v>37393224</v>
      </c>
      <c r="Y48" s="32">
        <v>8952064</v>
      </c>
      <c r="Z48" s="32">
        <v>42367080</v>
      </c>
      <c r="AA48" s="32">
        <v>47831056</v>
      </c>
      <c r="AB48" s="32">
        <v>21566736</v>
      </c>
      <c r="AC48" s="32">
        <v>1838736</v>
      </c>
      <c r="AD48" s="32">
        <v>17956</v>
      </c>
      <c r="AE48" s="32">
        <v>0</v>
      </c>
    </row>
    <row r="49" spans="2:31" x14ac:dyDescent="0.3">
      <c r="B49" s="14">
        <v>5</v>
      </c>
      <c r="C49" s="31">
        <v>14</v>
      </c>
      <c r="D49" s="31">
        <v>18</v>
      </c>
      <c r="E49" s="31">
        <v>168233</v>
      </c>
      <c r="F49" s="31">
        <v>2598716</v>
      </c>
      <c r="G49" s="31">
        <v>4305268</v>
      </c>
      <c r="H49" s="31">
        <v>212012</v>
      </c>
      <c r="I49" s="31">
        <v>61598</v>
      </c>
      <c r="J49" s="31">
        <v>287402</v>
      </c>
      <c r="K49" s="31">
        <v>2776337</v>
      </c>
      <c r="L49" s="31">
        <v>6245066</v>
      </c>
      <c r="M49" s="31">
        <v>1904324</v>
      </c>
      <c r="N49" s="31">
        <v>607</v>
      </c>
      <c r="O49" s="31">
        <v>1</v>
      </c>
      <c r="P49" s="12"/>
      <c r="R49" s="14">
        <v>5</v>
      </c>
      <c r="S49" s="32">
        <v>73441</v>
      </c>
      <c r="T49" s="32">
        <v>95481</v>
      </c>
      <c r="U49" s="32">
        <v>974169</v>
      </c>
      <c r="V49" s="32">
        <v>18679684</v>
      </c>
      <c r="W49" s="32">
        <v>41254928</v>
      </c>
      <c r="X49" s="32">
        <v>5377761</v>
      </c>
      <c r="Y49" s="32">
        <v>247009</v>
      </c>
      <c r="Z49" s="32">
        <v>3250809</v>
      </c>
      <c r="AA49" s="32">
        <v>22344528</v>
      </c>
      <c r="AB49" s="32">
        <v>47485880</v>
      </c>
      <c r="AC49" s="32">
        <v>16313521</v>
      </c>
      <c r="AD49" s="32">
        <v>448900</v>
      </c>
      <c r="AE49" s="32">
        <v>4</v>
      </c>
    </row>
    <row r="50" spans="2:31" x14ac:dyDescent="0.3">
      <c r="B50" s="14">
        <v>6</v>
      </c>
      <c r="C50" s="31">
        <v>45</v>
      </c>
      <c r="D50" s="31">
        <v>142</v>
      </c>
      <c r="E50" s="31">
        <v>336182</v>
      </c>
      <c r="F50" s="31">
        <v>1509419</v>
      </c>
      <c r="G50" s="31">
        <v>2648946</v>
      </c>
      <c r="H50" s="31">
        <v>109147</v>
      </c>
      <c r="I50" s="31">
        <v>1</v>
      </c>
      <c r="J50" s="31">
        <v>104</v>
      </c>
      <c r="K50" s="31">
        <v>511627</v>
      </c>
      <c r="L50" s="31">
        <v>2504313</v>
      </c>
      <c r="M50" s="31">
        <v>540569</v>
      </c>
      <c r="N50" s="31">
        <v>271</v>
      </c>
      <c r="O50" s="31">
        <v>3</v>
      </c>
      <c r="P50" s="12"/>
      <c r="R50" s="14">
        <v>6</v>
      </c>
      <c r="S50" s="32">
        <v>73441</v>
      </c>
      <c r="T50" s="32">
        <v>99225</v>
      </c>
      <c r="U50" s="32">
        <v>2319529</v>
      </c>
      <c r="V50" s="32">
        <v>39300360</v>
      </c>
      <c r="W50" s="32">
        <v>39175080</v>
      </c>
      <c r="X50" s="32">
        <v>1575025</v>
      </c>
      <c r="Y50" s="32">
        <v>4</v>
      </c>
      <c r="Z50" s="32">
        <v>16900</v>
      </c>
      <c r="AA50" s="32">
        <v>2166784</v>
      </c>
      <c r="AB50" s="32">
        <v>23251684</v>
      </c>
      <c r="AC50" s="32">
        <v>18922500</v>
      </c>
      <c r="AD50" s="32">
        <v>719104</v>
      </c>
      <c r="AE50" s="32">
        <v>16</v>
      </c>
    </row>
    <row r="51" spans="2:31" x14ac:dyDescent="0.3">
      <c r="B51" s="14">
        <v>7</v>
      </c>
      <c r="C51" s="31">
        <v>99</v>
      </c>
      <c r="D51" s="31">
        <v>47</v>
      </c>
      <c r="E51" s="31">
        <v>87614</v>
      </c>
      <c r="F51" s="31">
        <v>305724</v>
      </c>
      <c r="G51" s="31">
        <v>62926</v>
      </c>
      <c r="H51" s="31">
        <v>1165</v>
      </c>
      <c r="I51" s="31">
        <v>4</v>
      </c>
      <c r="J51" s="31">
        <v>0</v>
      </c>
      <c r="K51" s="31">
        <v>1640</v>
      </c>
      <c r="L51" s="31">
        <v>-4</v>
      </c>
      <c r="M51" s="31">
        <v>2796</v>
      </c>
      <c r="N51" s="31">
        <v>732</v>
      </c>
      <c r="O51" s="31">
        <v>1</v>
      </c>
      <c r="P51" s="12"/>
      <c r="R51" s="14">
        <v>7</v>
      </c>
      <c r="S51" s="32">
        <v>3136</v>
      </c>
      <c r="T51" s="32">
        <v>4096</v>
      </c>
      <c r="U51" s="32">
        <v>1890625</v>
      </c>
      <c r="V51" s="32">
        <v>42601728</v>
      </c>
      <c r="W51" s="32">
        <v>39803480</v>
      </c>
      <c r="X51" s="32">
        <v>1555009</v>
      </c>
      <c r="Y51" s="32">
        <v>36</v>
      </c>
      <c r="Z51" s="32">
        <v>25</v>
      </c>
      <c r="AA51" s="32">
        <v>678976</v>
      </c>
      <c r="AB51" s="32">
        <v>17189316</v>
      </c>
      <c r="AC51" s="32">
        <v>17986080</v>
      </c>
      <c r="AD51" s="32">
        <v>729316</v>
      </c>
      <c r="AE51" s="32">
        <v>9</v>
      </c>
    </row>
    <row r="52" spans="2:31" x14ac:dyDescent="0.3">
      <c r="B52" s="14">
        <v>8</v>
      </c>
      <c r="C52" s="31">
        <v>0</v>
      </c>
      <c r="D52" s="31">
        <v>-1</v>
      </c>
      <c r="E52" s="31">
        <v>-9</v>
      </c>
      <c r="F52" s="31">
        <v>-144</v>
      </c>
      <c r="G52" s="31">
        <v>-144</v>
      </c>
      <c r="H52" s="31">
        <v>-4</v>
      </c>
      <c r="I52" s="31">
        <v>4</v>
      </c>
      <c r="J52" s="31">
        <v>2</v>
      </c>
      <c r="K52" s="31">
        <v>800</v>
      </c>
      <c r="L52" s="31">
        <v>-1369</v>
      </c>
      <c r="M52" s="31">
        <v>-961</v>
      </c>
      <c r="N52" s="31">
        <v>-36</v>
      </c>
      <c r="O52" s="31">
        <v>0</v>
      </c>
      <c r="P52" s="12"/>
      <c r="R52" s="14">
        <v>8</v>
      </c>
      <c r="S52" s="32">
        <v>1</v>
      </c>
      <c r="T52" s="32">
        <v>1</v>
      </c>
      <c r="U52" s="32">
        <v>1705636</v>
      </c>
      <c r="V52" s="32">
        <v>41977440</v>
      </c>
      <c r="W52" s="32">
        <v>39929760</v>
      </c>
      <c r="X52" s="32">
        <v>1570009</v>
      </c>
      <c r="Y52" s="32">
        <v>36</v>
      </c>
      <c r="Z52" s="32">
        <v>9</v>
      </c>
      <c r="AA52" s="32">
        <v>722500</v>
      </c>
      <c r="AB52" s="32">
        <v>17977600</v>
      </c>
      <c r="AC52" s="32">
        <v>17673616</v>
      </c>
      <c r="AD52" s="32">
        <v>700569</v>
      </c>
      <c r="AE52" s="32">
        <v>0</v>
      </c>
    </row>
    <row r="53" spans="2:31" x14ac:dyDescent="0.3">
      <c r="B53" s="14">
        <v>9</v>
      </c>
      <c r="C53" s="31">
        <v>-1</v>
      </c>
      <c r="D53" s="31">
        <v>-1</v>
      </c>
      <c r="E53" s="31">
        <v>1262</v>
      </c>
      <c r="F53" s="31">
        <v>462729</v>
      </c>
      <c r="G53" s="31">
        <v>2123222</v>
      </c>
      <c r="H53" s="31">
        <v>570250</v>
      </c>
      <c r="I53" s="31">
        <v>1410</v>
      </c>
      <c r="J53" s="31">
        <v>483</v>
      </c>
      <c r="K53" s="31">
        <v>394601</v>
      </c>
      <c r="L53" s="31">
        <v>1386299</v>
      </c>
      <c r="M53" s="31">
        <v>280873</v>
      </c>
      <c r="N53" s="31">
        <v>-16</v>
      </c>
      <c r="O53" s="31">
        <v>0</v>
      </c>
      <c r="P53" s="12"/>
      <c r="R53" s="14">
        <v>9</v>
      </c>
      <c r="S53" s="32">
        <v>4</v>
      </c>
      <c r="T53" s="32">
        <v>9</v>
      </c>
      <c r="U53" s="32">
        <v>1617984</v>
      </c>
      <c r="V53" s="32">
        <v>41075280</v>
      </c>
      <c r="W53" s="32">
        <v>43890624</v>
      </c>
      <c r="X53" s="32">
        <v>2944656</v>
      </c>
      <c r="Y53" s="32">
        <v>226576</v>
      </c>
      <c r="Z53" s="32">
        <v>243049</v>
      </c>
      <c r="AA53" s="32">
        <v>1747684</v>
      </c>
      <c r="AB53" s="32">
        <v>20939776</v>
      </c>
      <c r="AC53" s="32">
        <v>17724100</v>
      </c>
      <c r="AD53" s="32">
        <v>677329</v>
      </c>
      <c r="AE53" s="32">
        <v>4</v>
      </c>
    </row>
    <row r="54" spans="2:31" x14ac:dyDescent="0.3">
      <c r="B54" s="14">
        <v>10</v>
      </c>
      <c r="C54" s="31">
        <v>0</v>
      </c>
      <c r="D54" s="31">
        <v>0</v>
      </c>
      <c r="E54" s="31">
        <v>26116</v>
      </c>
      <c r="F54" s="31">
        <v>2139594</v>
      </c>
      <c r="G54" s="31">
        <v>5222493</v>
      </c>
      <c r="H54" s="31">
        <v>2120871</v>
      </c>
      <c r="I54" s="31">
        <v>1906</v>
      </c>
      <c r="J54" s="31">
        <v>-100</v>
      </c>
      <c r="K54" s="31">
        <v>1463127</v>
      </c>
      <c r="L54" s="31">
        <v>3435843</v>
      </c>
      <c r="M54" s="31">
        <v>990099</v>
      </c>
      <c r="N54" s="31">
        <v>-64</v>
      </c>
      <c r="O54" s="31">
        <v>0</v>
      </c>
      <c r="P54" s="12"/>
      <c r="R54" s="14">
        <v>10</v>
      </c>
      <c r="S54" s="32">
        <v>1</v>
      </c>
      <c r="T54" s="32">
        <v>9</v>
      </c>
      <c r="U54" s="32">
        <v>1144900</v>
      </c>
      <c r="V54" s="32">
        <v>32307856</v>
      </c>
      <c r="W54" s="32">
        <v>50495236</v>
      </c>
      <c r="X54" s="32">
        <v>11710084</v>
      </c>
      <c r="Y54" s="32">
        <v>5716881</v>
      </c>
      <c r="Z54" s="32">
        <v>5958481</v>
      </c>
      <c r="AA54" s="32">
        <v>9339136</v>
      </c>
      <c r="AB54" s="32">
        <v>27164944</v>
      </c>
      <c r="AC54" s="32">
        <v>13512976</v>
      </c>
      <c r="AD54" s="32">
        <v>434281</v>
      </c>
      <c r="AE54" s="32">
        <v>0</v>
      </c>
    </row>
    <row r="55" spans="2:31" x14ac:dyDescent="0.3">
      <c r="B55" s="14">
        <v>11</v>
      </c>
      <c r="C55" s="31">
        <v>-1</v>
      </c>
      <c r="D55" s="31">
        <v>-1</v>
      </c>
      <c r="E55" s="31">
        <v>42051</v>
      </c>
      <c r="F55" s="31">
        <v>1486491</v>
      </c>
      <c r="G55" s="31">
        <v>1997716</v>
      </c>
      <c r="H55" s="31">
        <v>666860</v>
      </c>
      <c r="I55" s="31">
        <v>853</v>
      </c>
      <c r="J55" s="31">
        <v>-196</v>
      </c>
      <c r="K55" s="31">
        <v>392690</v>
      </c>
      <c r="L55" s="31">
        <v>976900</v>
      </c>
      <c r="M55" s="31">
        <v>266351</v>
      </c>
      <c r="N55" s="31">
        <v>-36</v>
      </c>
      <c r="O55" s="31">
        <v>0</v>
      </c>
      <c r="P55" s="12"/>
      <c r="R55" s="14">
        <v>11</v>
      </c>
      <c r="S55" s="32">
        <v>4</v>
      </c>
      <c r="T55" s="32">
        <v>1369</v>
      </c>
      <c r="U55" s="32">
        <v>390625</v>
      </c>
      <c r="V55" s="32">
        <v>7118224</v>
      </c>
      <c r="W55" s="32">
        <v>13264164</v>
      </c>
      <c r="X55" s="32">
        <v>7590025</v>
      </c>
      <c r="Y55" s="32">
        <v>6022116</v>
      </c>
      <c r="Z55" s="32">
        <v>5697769</v>
      </c>
      <c r="AA55" s="32">
        <v>6451600</v>
      </c>
      <c r="AB55" s="32">
        <v>7452900</v>
      </c>
      <c r="AC55" s="32">
        <v>1545049</v>
      </c>
      <c r="AD55" s="32">
        <v>30976</v>
      </c>
      <c r="AE55" s="32">
        <v>0</v>
      </c>
    </row>
    <row r="56" spans="2:31" x14ac:dyDescent="0.3">
      <c r="B56" s="14">
        <v>12</v>
      </c>
      <c r="C56" s="31">
        <v>-1</v>
      </c>
      <c r="D56" s="31">
        <v>103</v>
      </c>
      <c r="E56" s="31">
        <v>69236</v>
      </c>
      <c r="F56" s="31">
        <v>198946</v>
      </c>
      <c r="G56" s="31">
        <v>142560</v>
      </c>
      <c r="H56" s="31">
        <v>12646</v>
      </c>
      <c r="I56" s="31">
        <v>-81</v>
      </c>
      <c r="J56" s="31">
        <v>-9</v>
      </c>
      <c r="K56" s="31">
        <v>19299</v>
      </c>
      <c r="L56" s="31">
        <v>66935</v>
      </c>
      <c r="M56" s="31">
        <v>15004</v>
      </c>
      <c r="N56" s="31">
        <v>-1</v>
      </c>
      <c r="O56" s="31">
        <v>0</v>
      </c>
      <c r="P56" s="12"/>
      <c r="R56" s="14">
        <v>12</v>
      </c>
      <c r="S56" s="32">
        <v>1</v>
      </c>
      <c r="T56" s="32">
        <v>19600</v>
      </c>
      <c r="U56" s="32">
        <v>707281</v>
      </c>
      <c r="V56" s="32">
        <v>2039184</v>
      </c>
      <c r="W56" s="32">
        <v>625681</v>
      </c>
      <c r="X56" s="32">
        <v>269361</v>
      </c>
      <c r="Y56" s="32">
        <v>243049</v>
      </c>
      <c r="Z56" s="32">
        <v>223729</v>
      </c>
      <c r="AA56" s="32">
        <v>262144</v>
      </c>
      <c r="AB56" s="32">
        <v>336400</v>
      </c>
      <c r="AC56" s="32">
        <v>87025</v>
      </c>
      <c r="AD56" s="32">
        <v>2116</v>
      </c>
      <c r="AE56" s="32">
        <v>0</v>
      </c>
    </row>
    <row r="57" spans="2:31" x14ac:dyDescent="0.3">
      <c r="B57" s="12"/>
      <c r="C57" s="12"/>
      <c r="D57" s="12"/>
      <c r="E57" s="12"/>
      <c r="F57" s="12" t="s">
        <v>25</v>
      </c>
      <c r="G57" s="12">
        <v>0.04</v>
      </c>
      <c r="H57" s="12"/>
      <c r="I57" s="12"/>
      <c r="J57" s="12"/>
      <c r="K57" s="12"/>
      <c r="L57" s="12"/>
      <c r="M57" s="12"/>
      <c r="N57" s="12"/>
      <c r="O57" s="12"/>
      <c r="P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</row>
    <row r="58" spans="2:31" x14ac:dyDescent="0.3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</row>
    <row r="59" spans="2:31" x14ac:dyDescent="0.3">
      <c r="B59" s="17" t="s">
        <v>37</v>
      </c>
      <c r="C59" s="12"/>
      <c r="D59" s="12" t="s">
        <v>24</v>
      </c>
      <c r="E59" s="17" t="s">
        <v>38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R59" s="12"/>
      <c r="S59" s="12"/>
      <c r="T59" s="12" t="s">
        <v>24</v>
      </c>
      <c r="U59" s="12" t="s">
        <v>26</v>
      </c>
      <c r="V59" s="12"/>
      <c r="W59" s="12"/>
      <c r="X59" s="12"/>
      <c r="Y59" s="12"/>
      <c r="Z59" s="12"/>
      <c r="AA59" s="12"/>
      <c r="AB59" s="12"/>
      <c r="AC59" s="12"/>
      <c r="AD59" s="12"/>
      <c r="AE59" s="12"/>
    </row>
    <row r="60" spans="2:31" x14ac:dyDescent="0.3">
      <c r="B60" s="12"/>
      <c r="C60" s="14">
        <v>0</v>
      </c>
      <c r="D60" s="14">
        <v>1</v>
      </c>
      <c r="E60" s="14">
        <v>2</v>
      </c>
      <c r="F60" s="14">
        <v>3</v>
      </c>
      <c r="G60" s="14">
        <v>4</v>
      </c>
      <c r="H60" s="14">
        <v>5</v>
      </c>
      <c r="I60" s="14">
        <v>6</v>
      </c>
      <c r="J60" s="14">
        <v>7</v>
      </c>
      <c r="K60" s="14">
        <v>8</v>
      </c>
      <c r="L60" s="14">
        <v>9</v>
      </c>
      <c r="M60" s="14">
        <v>10</v>
      </c>
      <c r="N60" s="14">
        <v>11</v>
      </c>
      <c r="O60" s="14">
        <v>12</v>
      </c>
      <c r="P60" s="12"/>
      <c r="R60" s="12"/>
      <c r="S60" s="14">
        <v>0</v>
      </c>
      <c r="T60" s="14">
        <v>1</v>
      </c>
      <c r="U60" s="14">
        <v>2</v>
      </c>
      <c r="V60" s="14">
        <v>3</v>
      </c>
      <c r="W60" s="14">
        <v>4</v>
      </c>
      <c r="X60" s="14">
        <v>5</v>
      </c>
      <c r="Y60" s="14">
        <v>6</v>
      </c>
      <c r="Z60" s="14">
        <v>7</v>
      </c>
      <c r="AA60" s="14">
        <v>8</v>
      </c>
      <c r="AB60" s="14">
        <v>9</v>
      </c>
      <c r="AC60" s="14">
        <v>10</v>
      </c>
      <c r="AD60" s="14">
        <v>11</v>
      </c>
      <c r="AE60" s="14">
        <v>12</v>
      </c>
    </row>
    <row r="61" spans="2:31" x14ac:dyDescent="0.3">
      <c r="B61" s="14">
        <v>0</v>
      </c>
      <c r="C61" s="31">
        <v>0</v>
      </c>
      <c r="D61" s="31">
        <v>-1</v>
      </c>
      <c r="E61" s="31">
        <v>-1</v>
      </c>
      <c r="F61" s="31">
        <v>0</v>
      </c>
      <c r="G61" s="31">
        <v>-2</v>
      </c>
      <c r="H61" s="31">
        <v>-2</v>
      </c>
      <c r="I61" s="31">
        <v>-8</v>
      </c>
      <c r="J61" s="31">
        <v>-8</v>
      </c>
      <c r="K61" s="31">
        <v>-2</v>
      </c>
      <c r="L61" s="31">
        <v>-1</v>
      </c>
      <c r="M61" s="31">
        <v>-1</v>
      </c>
      <c r="N61" s="31">
        <v>-1</v>
      </c>
      <c r="O61" s="31">
        <v>-6</v>
      </c>
      <c r="P61" s="12"/>
      <c r="R61" s="14">
        <v>0</v>
      </c>
      <c r="S61" s="31">
        <v>70</v>
      </c>
      <c r="T61" s="31">
        <v>70</v>
      </c>
      <c r="U61" s="31">
        <v>70</v>
      </c>
      <c r="V61" s="31">
        <v>70</v>
      </c>
      <c r="W61" s="31">
        <v>70</v>
      </c>
      <c r="X61" s="31">
        <v>70</v>
      </c>
      <c r="Y61" s="31">
        <v>70</v>
      </c>
      <c r="Z61" s="31">
        <v>70</v>
      </c>
      <c r="AA61" s="31">
        <v>70</v>
      </c>
      <c r="AB61" s="31">
        <v>70</v>
      </c>
      <c r="AC61" s="31">
        <v>70</v>
      </c>
      <c r="AD61" s="31">
        <v>70</v>
      </c>
      <c r="AE61" s="31">
        <v>70</v>
      </c>
    </row>
    <row r="62" spans="2:31" x14ac:dyDescent="0.3">
      <c r="B62" s="14">
        <v>1</v>
      </c>
      <c r="C62" s="31">
        <v>-1</v>
      </c>
      <c r="D62" s="31">
        <v>0</v>
      </c>
      <c r="E62" s="31">
        <v>0</v>
      </c>
      <c r="F62" s="31">
        <v>-2</v>
      </c>
      <c r="G62" s="31">
        <v>-2</v>
      </c>
      <c r="H62" s="31">
        <v>-376</v>
      </c>
      <c r="I62" s="31">
        <v>-5945</v>
      </c>
      <c r="J62" s="31">
        <v>962</v>
      </c>
      <c r="K62" s="31">
        <v>2</v>
      </c>
      <c r="L62" s="31">
        <v>-1</v>
      </c>
      <c r="M62" s="31">
        <v>-1</v>
      </c>
      <c r="N62" s="31">
        <v>0</v>
      </c>
      <c r="O62" s="31">
        <v>0</v>
      </c>
      <c r="P62" s="12"/>
      <c r="R62" s="14">
        <v>1</v>
      </c>
      <c r="S62" s="31">
        <v>70</v>
      </c>
      <c r="T62" s="31">
        <v>70</v>
      </c>
      <c r="U62" s="31">
        <v>70</v>
      </c>
      <c r="V62" s="31">
        <v>70</v>
      </c>
      <c r="W62" s="31">
        <v>70</v>
      </c>
      <c r="X62" s="31">
        <v>70</v>
      </c>
      <c r="Y62" s="31">
        <v>69</v>
      </c>
      <c r="Z62" s="31">
        <v>70</v>
      </c>
      <c r="AA62" s="31">
        <v>70</v>
      </c>
      <c r="AB62" s="31">
        <v>70</v>
      </c>
      <c r="AC62" s="31">
        <v>70</v>
      </c>
      <c r="AD62" s="31">
        <v>70</v>
      </c>
      <c r="AE62" s="31">
        <v>70</v>
      </c>
    </row>
    <row r="63" spans="2:31" x14ac:dyDescent="0.3">
      <c r="B63" s="14">
        <v>2</v>
      </c>
      <c r="C63" s="31">
        <v>-1</v>
      </c>
      <c r="D63" s="31">
        <v>2</v>
      </c>
      <c r="E63" s="31">
        <v>2</v>
      </c>
      <c r="F63" s="31">
        <v>-2</v>
      </c>
      <c r="G63" s="31">
        <v>-2078</v>
      </c>
      <c r="H63" s="31">
        <v>225211</v>
      </c>
      <c r="I63" s="31">
        <v>378551</v>
      </c>
      <c r="J63" s="31">
        <v>200311</v>
      </c>
      <c r="K63" s="31">
        <v>-2604</v>
      </c>
      <c r="L63" s="31">
        <v>2</v>
      </c>
      <c r="M63" s="31">
        <v>0</v>
      </c>
      <c r="N63" s="31">
        <v>-1</v>
      </c>
      <c r="O63" s="31">
        <v>-2</v>
      </c>
      <c r="P63" s="12"/>
      <c r="R63" s="14">
        <v>2</v>
      </c>
      <c r="S63" s="31">
        <v>70</v>
      </c>
      <c r="T63" s="31">
        <v>70</v>
      </c>
      <c r="U63" s="31">
        <v>70</v>
      </c>
      <c r="V63" s="31">
        <v>70</v>
      </c>
      <c r="W63" s="31">
        <v>70</v>
      </c>
      <c r="X63" s="31">
        <v>79</v>
      </c>
      <c r="Y63" s="31">
        <v>86</v>
      </c>
      <c r="Z63" s="31">
        <v>78</v>
      </c>
      <c r="AA63" s="31">
        <v>70</v>
      </c>
      <c r="AB63" s="31">
        <v>70</v>
      </c>
      <c r="AC63" s="31">
        <v>70</v>
      </c>
      <c r="AD63" s="31">
        <v>70</v>
      </c>
      <c r="AE63" s="31">
        <v>70</v>
      </c>
    </row>
    <row r="64" spans="2:31" x14ac:dyDescent="0.3">
      <c r="B64" s="14">
        <v>3</v>
      </c>
      <c r="C64" s="31">
        <v>-2</v>
      </c>
      <c r="D64" s="31">
        <v>-1</v>
      </c>
      <c r="E64" s="31">
        <v>4</v>
      </c>
      <c r="F64" s="31">
        <v>-1898</v>
      </c>
      <c r="G64" s="31">
        <v>-190847</v>
      </c>
      <c r="H64" s="31">
        <v>318658</v>
      </c>
      <c r="I64" s="31">
        <v>3849634</v>
      </c>
      <c r="J64" s="31">
        <v>83182</v>
      </c>
      <c r="K64" s="31">
        <v>-118834</v>
      </c>
      <c r="L64" s="31">
        <v>32680</v>
      </c>
      <c r="M64" s="31">
        <v>-726</v>
      </c>
      <c r="N64" s="31">
        <v>0</v>
      </c>
      <c r="O64" s="31">
        <v>0</v>
      </c>
      <c r="P64" s="12"/>
      <c r="R64" s="14">
        <v>3</v>
      </c>
      <c r="S64" s="31">
        <v>70</v>
      </c>
      <c r="T64" s="31">
        <v>70</v>
      </c>
      <c r="U64" s="31">
        <v>70</v>
      </c>
      <c r="V64" s="31">
        <v>69</v>
      </c>
      <c r="W64" s="31">
        <v>62</v>
      </c>
      <c r="X64" s="31">
        <v>83</v>
      </c>
      <c r="Y64" s="31">
        <v>230</v>
      </c>
      <c r="Z64" s="31">
        <v>74</v>
      </c>
      <c r="AA64" s="31">
        <v>65</v>
      </c>
      <c r="AB64" s="31">
        <v>71</v>
      </c>
      <c r="AC64" s="31">
        <v>70</v>
      </c>
      <c r="AD64" s="31">
        <v>70</v>
      </c>
      <c r="AE64" s="31">
        <v>70</v>
      </c>
    </row>
    <row r="65" spans="2:31" x14ac:dyDescent="0.3">
      <c r="B65" s="14">
        <v>4</v>
      </c>
      <c r="C65" s="31">
        <v>-133</v>
      </c>
      <c r="D65" s="31">
        <v>-86</v>
      </c>
      <c r="E65" s="31">
        <v>4665</v>
      </c>
      <c r="F65" s="31">
        <v>314257</v>
      </c>
      <c r="G65" s="31">
        <v>-956125</v>
      </c>
      <c r="H65" s="31">
        <v>-1105037</v>
      </c>
      <c r="I65" s="31">
        <v>1796252</v>
      </c>
      <c r="J65" s="31">
        <v>-979111</v>
      </c>
      <c r="K65" s="31">
        <v>676080</v>
      </c>
      <c r="L65" s="31">
        <v>1682066</v>
      </c>
      <c r="M65" s="31">
        <v>349292</v>
      </c>
      <c r="N65" s="31">
        <v>-491</v>
      </c>
      <c r="O65" s="31">
        <v>0</v>
      </c>
      <c r="P65" s="12"/>
      <c r="R65" s="14">
        <v>4</v>
      </c>
      <c r="S65" s="31">
        <v>70</v>
      </c>
      <c r="T65" s="31">
        <v>70</v>
      </c>
      <c r="U65" s="31">
        <v>70</v>
      </c>
      <c r="V65" s="31">
        <v>83</v>
      </c>
      <c r="W65" s="31">
        <v>31</v>
      </c>
      <c r="X65" s="31">
        <v>24</v>
      </c>
      <c r="Y65" s="31">
        <v>146</v>
      </c>
      <c r="Z65" s="31">
        <v>28</v>
      </c>
      <c r="AA65" s="31">
        <v>99</v>
      </c>
      <c r="AB65" s="31">
        <v>142</v>
      </c>
      <c r="AC65" s="31">
        <v>85</v>
      </c>
      <c r="AD65" s="31">
        <v>70</v>
      </c>
      <c r="AE65" s="31">
        <v>70</v>
      </c>
    </row>
    <row r="66" spans="2:31" x14ac:dyDescent="0.3">
      <c r="B66" s="14">
        <v>5</v>
      </c>
      <c r="C66" s="31">
        <v>-2924</v>
      </c>
      <c r="D66" s="31">
        <v>-3802</v>
      </c>
      <c r="E66" s="31">
        <v>129266</v>
      </c>
      <c r="F66" s="31">
        <v>1851528</v>
      </c>
      <c r="G66" s="31">
        <v>2655071</v>
      </c>
      <c r="H66" s="31">
        <v>-3099</v>
      </c>
      <c r="I66" s="31">
        <v>51717</v>
      </c>
      <c r="J66" s="31">
        <v>157369</v>
      </c>
      <c r="K66" s="31">
        <v>1882555</v>
      </c>
      <c r="L66" s="31">
        <v>4345631</v>
      </c>
      <c r="M66" s="31">
        <v>1251783</v>
      </c>
      <c r="N66" s="31">
        <v>-17349</v>
      </c>
      <c r="O66" s="31">
        <v>0</v>
      </c>
      <c r="P66" s="12"/>
      <c r="R66" s="14">
        <v>5</v>
      </c>
      <c r="S66" s="31">
        <v>70</v>
      </c>
      <c r="T66" s="31">
        <v>70</v>
      </c>
      <c r="U66" s="31">
        <v>75</v>
      </c>
      <c r="V66" s="31">
        <v>146</v>
      </c>
      <c r="W66" s="31">
        <v>179</v>
      </c>
      <c r="X66" s="31">
        <v>69</v>
      </c>
      <c r="Y66" s="31">
        <v>72</v>
      </c>
      <c r="Z66" s="31">
        <v>76</v>
      </c>
      <c r="AA66" s="31">
        <v>150</v>
      </c>
      <c r="AB66" s="31">
        <v>255</v>
      </c>
      <c r="AC66" s="31">
        <v>124</v>
      </c>
      <c r="AD66" s="31">
        <v>69</v>
      </c>
      <c r="AE66" s="31">
        <v>70</v>
      </c>
    </row>
    <row r="67" spans="2:31" x14ac:dyDescent="0.3">
      <c r="B67" s="14">
        <v>6</v>
      </c>
      <c r="C67" s="31">
        <v>-2893</v>
      </c>
      <c r="D67" s="31">
        <v>-3827</v>
      </c>
      <c r="E67" s="31">
        <v>243400</v>
      </c>
      <c r="F67" s="31">
        <v>-62596</v>
      </c>
      <c r="G67" s="31">
        <v>1081942</v>
      </c>
      <c r="H67" s="31">
        <v>46146</v>
      </c>
      <c r="I67" s="31">
        <v>0</v>
      </c>
      <c r="J67" s="31">
        <v>-572</v>
      </c>
      <c r="K67" s="31">
        <v>424955</v>
      </c>
      <c r="L67" s="31">
        <v>1574245</v>
      </c>
      <c r="M67" s="31">
        <v>-216331</v>
      </c>
      <c r="N67" s="31">
        <v>-28494</v>
      </c>
      <c r="O67" s="31">
        <v>2</v>
      </c>
      <c r="P67" s="12"/>
      <c r="R67" s="14">
        <v>6</v>
      </c>
      <c r="S67" s="31">
        <v>70</v>
      </c>
      <c r="T67" s="31">
        <v>70</v>
      </c>
      <c r="U67" s="31">
        <v>80</v>
      </c>
      <c r="V67" s="31">
        <v>68</v>
      </c>
      <c r="W67" s="31">
        <v>114</v>
      </c>
      <c r="X67" s="31">
        <v>72</v>
      </c>
      <c r="Y67" s="31">
        <v>70</v>
      </c>
      <c r="Z67" s="31">
        <v>70</v>
      </c>
      <c r="AA67" s="31">
        <v>88</v>
      </c>
      <c r="AB67" s="31">
        <v>136</v>
      </c>
      <c r="AC67" s="31">
        <v>60</v>
      </c>
      <c r="AD67" s="31">
        <v>68</v>
      </c>
      <c r="AE67" s="31">
        <v>70</v>
      </c>
    </row>
    <row r="68" spans="2:31" x14ac:dyDescent="0.3">
      <c r="B68" s="14">
        <v>7</v>
      </c>
      <c r="C68" s="31">
        <v>-27</v>
      </c>
      <c r="D68" s="31">
        <v>-117</v>
      </c>
      <c r="E68" s="31">
        <v>11989</v>
      </c>
      <c r="F68" s="31">
        <v>-1398346</v>
      </c>
      <c r="G68" s="31">
        <v>-1529214</v>
      </c>
      <c r="H68" s="31">
        <v>-61036</v>
      </c>
      <c r="I68" s="31">
        <v>2</v>
      </c>
      <c r="J68" s="31">
        <v>-1</v>
      </c>
      <c r="K68" s="31">
        <v>-25520</v>
      </c>
      <c r="L68" s="31">
        <v>-687577</v>
      </c>
      <c r="M68" s="31">
        <v>-716648</v>
      </c>
      <c r="N68" s="31">
        <v>-28441</v>
      </c>
      <c r="O68" s="31">
        <v>0</v>
      </c>
      <c r="P68" s="12"/>
      <c r="R68" s="14">
        <v>7</v>
      </c>
      <c r="S68" s="31">
        <v>70</v>
      </c>
      <c r="T68" s="31">
        <v>70</v>
      </c>
      <c r="U68" s="31">
        <v>70</v>
      </c>
      <c r="V68" s="31">
        <v>12</v>
      </c>
      <c r="W68" s="31">
        <v>6</v>
      </c>
      <c r="X68" s="31">
        <v>67</v>
      </c>
      <c r="Y68" s="31">
        <v>70</v>
      </c>
      <c r="Z68" s="31">
        <v>70</v>
      </c>
      <c r="AA68" s="31">
        <v>68</v>
      </c>
      <c r="AB68" s="31">
        <v>40</v>
      </c>
      <c r="AC68" s="31">
        <v>38</v>
      </c>
      <c r="AD68" s="31">
        <v>68</v>
      </c>
      <c r="AE68" s="31">
        <v>70</v>
      </c>
    </row>
    <row r="69" spans="2:31" x14ac:dyDescent="0.3">
      <c r="B69" s="14">
        <v>8</v>
      </c>
      <c r="C69" s="31">
        <v>-1</v>
      </c>
      <c r="D69" s="31">
        <v>-2</v>
      </c>
      <c r="E69" s="31">
        <v>-68235</v>
      </c>
      <c r="F69" s="31">
        <v>-1679242</v>
      </c>
      <c r="G69" s="31">
        <v>-1597335</v>
      </c>
      <c r="H69" s="31">
        <v>-62805</v>
      </c>
      <c r="I69" s="31">
        <v>2</v>
      </c>
      <c r="J69" s="31">
        <v>1</v>
      </c>
      <c r="K69" s="31">
        <v>-28100</v>
      </c>
      <c r="L69" s="31">
        <v>-720473</v>
      </c>
      <c r="M69" s="31">
        <v>-707906</v>
      </c>
      <c r="N69" s="31">
        <v>-28059</v>
      </c>
      <c r="O69" s="31">
        <v>0</v>
      </c>
      <c r="P69" s="12"/>
      <c r="R69" s="14">
        <v>8</v>
      </c>
      <c r="S69" s="31">
        <v>70</v>
      </c>
      <c r="T69" s="31">
        <v>70</v>
      </c>
      <c r="U69" s="31">
        <v>67</v>
      </c>
      <c r="V69" s="31">
        <v>0</v>
      </c>
      <c r="W69" s="31">
        <v>3</v>
      </c>
      <c r="X69" s="31">
        <v>67</v>
      </c>
      <c r="Y69" s="31">
        <v>70</v>
      </c>
      <c r="Z69" s="31">
        <v>70</v>
      </c>
      <c r="AA69" s="31">
        <v>68</v>
      </c>
      <c r="AB69" s="31">
        <v>39</v>
      </c>
      <c r="AC69" s="31">
        <v>39</v>
      </c>
      <c r="AD69" s="31">
        <v>68</v>
      </c>
      <c r="AE69" s="31">
        <v>70</v>
      </c>
    </row>
    <row r="70" spans="2:31" x14ac:dyDescent="0.3">
      <c r="B70" s="14">
        <v>9</v>
      </c>
      <c r="C70" s="31">
        <v>-2</v>
      </c>
      <c r="D70" s="31">
        <v>-2</v>
      </c>
      <c r="E70" s="31">
        <v>-63458</v>
      </c>
      <c r="F70" s="31">
        <v>-1180283</v>
      </c>
      <c r="G70" s="31">
        <v>367597</v>
      </c>
      <c r="H70" s="31">
        <v>452463</v>
      </c>
      <c r="I70" s="31">
        <v>-7654</v>
      </c>
      <c r="J70" s="31">
        <v>-9239</v>
      </c>
      <c r="K70" s="31">
        <v>324693</v>
      </c>
      <c r="L70" s="31">
        <v>548708</v>
      </c>
      <c r="M70" s="31">
        <v>-428091</v>
      </c>
      <c r="N70" s="31">
        <v>-27110</v>
      </c>
      <c r="O70" s="31">
        <v>-1</v>
      </c>
      <c r="P70" s="12"/>
      <c r="R70" s="14">
        <v>9</v>
      </c>
      <c r="S70" s="31">
        <v>70</v>
      </c>
      <c r="T70" s="31">
        <v>70</v>
      </c>
      <c r="U70" s="31">
        <v>67</v>
      </c>
      <c r="V70" s="31">
        <v>21</v>
      </c>
      <c r="W70" s="31">
        <v>86</v>
      </c>
      <c r="X70" s="31">
        <v>89</v>
      </c>
      <c r="Y70" s="31">
        <v>69</v>
      </c>
      <c r="Z70" s="31">
        <v>69</v>
      </c>
      <c r="AA70" s="31">
        <v>83</v>
      </c>
      <c r="AB70" s="31">
        <v>93</v>
      </c>
      <c r="AC70" s="31">
        <v>51</v>
      </c>
      <c r="AD70" s="31">
        <v>69</v>
      </c>
      <c r="AE70" s="31">
        <v>70</v>
      </c>
    </row>
    <row r="71" spans="2:31" x14ac:dyDescent="0.3">
      <c r="B71" s="14">
        <v>10</v>
      </c>
      <c r="C71" s="31">
        <v>-1</v>
      </c>
      <c r="D71" s="31">
        <v>-1</v>
      </c>
      <c r="E71" s="31">
        <v>-19680</v>
      </c>
      <c r="F71" s="31">
        <v>847279</v>
      </c>
      <c r="G71" s="31">
        <v>3202683</v>
      </c>
      <c r="H71" s="31">
        <v>1652467</v>
      </c>
      <c r="I71" s="31">
        <v>-226770</v>
      </c>
      <c r="J71" s="31">
        <v>-238440</v>
      </c>
      <c r="K71" s="31">
        <v>1089561</v>
      </c>
      <c r="L71" s="31">
        <v>2349245</v>
      </c>
      <c r="M71" s="31">
        <v>449580</v>
      </c>
      <c r="N71" s="31">
        <v>-17436</v>
      </c>
      <c r="O71" s="31">
        <v>0</v>
      </c>
      <c r="P71" s="12"/>
      <c r="R71" s="14">
        <v>10</v>
      </c>
      <c r="S71" s="31">
        <v>70</v>
      </c>
      <c r="T71" s="31">
        <v>70</v>
      </c>
      <c r="U71" s="31">
        <v>69</v>
      </c>
      <c r="V71" s="31">
        <v>105</v>
      </c>
      <c r="W71" s="31">
        <v>207</v>
      </c>
      <c r="X71" s="31">
        <v>141</v>
      </c>
      <c r="Y71" s="31">
        <v>60</v>
      </c>
      <c r="Z71" s="31">
        <v>59</v>
      </c>
      <c r="AA71" s="31">
        <v>116</v>
      </c>
      <c r="AB71" s="31">
        <v>171</v>
      </c>
      <c r="AC71" s="31">
        <v>89</v>
      </c>
      <c r="AD71" s="31">
        <v>69</v>
      </c>
      <c r="AE71" s="31">
        <v>70</v>
      </c>
    </row>
    <row r="72" spans="2:31" x14ac:dyDescent="0.3">
      <c r="B72" s="14">
        <v>11</v>
      </c>
      <c r="C72" s="31">
        <v>-2</v>
      </c>
      <c r="D72" s="31">
        <v>-56</v>
      </c>
      <c r="E72" s="31">
        <v>26426</v>
      </c>
      <c r="F72" s="31">
        <v>1201762</v>
      </c>
      <c r="G72" s="31">
        <v>1467149</v>
      </c>
      <c r="H72" s="31">
        <v>363259</v>
      </c>
      <c r="I72" s="31">
        <v>-240032</v>
      </c>
      <c r="J72" s="31">
        <v>-228107</v>
      </c>
      <c r="K72" s="31">
        <v>134626</v>
      </c>
      <c r="L72" s="31">
        <v>678784</v>
      </c>
      <c r="M72" s="31">
        <v>204549</v>
      </c>
      <c r="N72" s="31">
        <v>-1276</v>
      </c>
      <c r="O72" s="31">
        <v>0</v>
      </c>
      <c r="P72" s="12"/>
      <c r="R72" s="14">
        <v>11</v>
      </c>
      <c r="S72" s="31">
        <v>70</v>
      </c>
      <c r="T72" s="31">
        <v>70</v>
      </c>
      <c r="U72" s="31">
        <v>71</v>
      </c>
      <c r="V72" s="31">
        <v>118</v>
      </c>
      <c r="W72" s="31">
        <v>131</v>
      </c>
      <c r="X72" s="31">
        <v>86</v>
      </c>
      <c r="Y72" s="31">
        <v>59</v>
      </c>
      <c r="Z72" s="31">
        <v>60</v>
      </c>
      <c r="AA72" s="31">
        <v>75</v>
      </c>
      <c r="AB72" s="31">
        <v>98</v>
      </c>
      <c r="AC72" s="31">
        <v>78</v>
      </c>
      <c r="AD72" s="31">
        <v>70</v>
      </c>
      <c r="AE72" s="31">
        <v>70</v>
      </c>
    </row>
    <row r="73" spans="2:31" x14ac:dyDescent="0.3">
      <c r="B73" s="14">
        <v>12</v>
      </c>
      <c r="C73" s="31">
        <v>-2</v>
      </c>
      <c r="D73" s="31">
        <v>-681</v>
      </c>
      <c r="E73" s="31">
        <v>40944</v>
      </c>
      <c r="F73" s="31">
        <v>117378</v>
      </c>
      <c r="G73" s="31">
        <v>117532</v>
      </c>
      <c r="H73" s="31">
        <v>1871</v>
      </c>
      <c r="I73" s="31">
        <v>-9803</v>
      </c>
      <c r="J73" s="31">
        <v>-8959</v>
      </c>
      <c r="K73" s="31">
        <v>8813</v>
      </c>
      <c r="L73" s="31">
        <v>53479</v>
      </c>
      <c r="M73" s="31">
        <v>11523</v>
      </c>
      <c r="N73" s="31">
        <v>-86</v>
      </c>
      <c r="O73" s="31">
        <v>0</v>
      </c>
      <c r="P73" s="12"/>
      <c r="R73" s="14">
        <v>12</v>
      </c>
      <c r="S73" s="31">
        <v>70</v>
      </c>
      <c r="T73" s="31">
        <v>70</v>
      </c>
      <c r="U73" s="31">
        <v>71</v>
      </c>
      <c r="V73" s="31">
        <v>75</v>
      </c>
      <c r="W73" s="31">
        <v>74</v>
      </c>
      <c r="X73" s="31">
        <v>70</v>
      </c>
      <c r="Y73" s="31">
        <v>69</v>
      </c>
      <c r="Z73" s="31">
        <v>69</v>
      </c>
      <c r="AA73" s="31">
        <v>70</v>
      </c>
      <c r="AB73" s="31">
        <v>72</v>
      </c>
      <c r="AC73" s="31">
        <v>70</v>
      </c>
      <c r="AD73" s="31">
        <v>70</v>
      </c>
      <c r="AE73" s="31">
        <v>70</v>
      </c>
    </row>
    <row r="74" spans="2:31" x14ac:dyDescent="0.3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</row>
    <row r="75" spans="2:31" x14ac:dyDescent="0.3"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</row>
    <row r="76" spans="2:31" x14ac:dyDescent="0.3">
      <c r="B76" s="12"/>
      <c r="C76" s="12"/>
      <c r="D76" s="12" t="s">
        <v>24</v>
      </c>
      <c r="E76" s="17" t="s">
        <v>27</v>
      </c>
      <c r="F76" s="12"/>
      <c r="G76" s="12" t="s">
        <v>39</v>
      </c>
      <c r="H76" s="33">
        <v>98.7918186187744</v>
      </c>
      <c r="I76" s="12"/>
      <c r="J76" s="12"/>
      <c r="K76" s="12"/>
      <c r="L76" s="12"/>
      <c r="M76" s="12"/>
      <c r="N76" s="12"/>
      <c r="O76" s="12"/>
      <c r="P76" s="12"/>
      <c r="R76" s="12"/>
      <c r="S76" s="12"/>
      <c r="T76" s="12" t="s">
        <v>24</v>
      </c>
      <c r="U76" s="17" t="s">
        <v>31</v>
      </c>
      <c r="V76" s="12"/>
      <c r="W76" s="12"/>
      <c r="X76" s="12"/>
      <c r="Y76" s="12"/>
      <c r="Z76" s="12"/>
      <c r="AA76" s="12"/>
      <c r="AB76" s="12"/>
      <c r="AC76" s="12"/>
      <c r="AD76" s="12"/>
      <c r="AE76" s="12"/>
    </row>
    <row r="77" spans="2:31" x14ac:dyDescent="0.3">
      <c r="B77" s="12"/>
      <c r="C77" s="14">
        <v>0</v>
      </c>
      <c r="D77" s="14">
        <v>1</v>
      </c>
      <c r="E77" s="14">
        <v>2</v>
      </c>
      <c r="F77" s="14">
        <v>3</v>
      </c>
      <c r="G77" s="14">
        <v>4</v>
      </c>
      <c r="H77" s="14">
        <v>5</v>
      </c>
      <c r="I77" s="14">
        <v>6</v>
      </c>
      <c r="J77" s="14">
        <v>7</v>
      </c>
      <c r="K77" s="14">
        <v>8</v>
      </c>
      <c r="L77" s="14">
        <v>9</v>
      </c>
      <c r="M77" s="14">
        <v>10</v>
      </c>
      <c r="N77" s="14">
        <v>11</v>
      </c>
      <c r="O77" s="14">
        <v>12</v>
      </c>
      <c r="P77" s="12"/>
      <c r="R77" s="12"/>
      <c r="S77" s="14">
        <v>0</v>
      </c>
      <c r="T77" s="14">
        <v>1</v>
      </c>
      <c r="U77" s="14">
        <v>2</v>
      </c>
      <c r="V77" s="14">
        <v>3</v>
      </c>
      <c r="W77" s="14">
        <v>4</v>
      </c>
      <c r="X77" s="14">
        <v>5</v>
      </c>
      <c r="Y77" s="14">
        <v>6</v>
      </c>
      <c r="Z77" s="14">
        <v>7</v>
      </c>
      <c r="AA77" s="14">
        <v>8</v>
      </c>
      <c r="AB77" s="14">
        <v>9</v>
      </c>
      <c r="AC77" s="14">
        <v>10</v>
      </c>
      <c r="AD77" s="14">
        <v>11</v>
      </c>
      <c r="AE77" s="14">
        <v>12</v>
      </c>
    </row>
    <row r="78" spans="2:31" x14ac:dyDescent="0.3">
      <c r="B78" s="14">
        <v>0</v>
      </c>
      <c r="C78" s="31">
        <v>0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12"/>
      <c r="R78" s="14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</row>
    <row r="79" spans="2:31" x14ac:dyDescent="0.3">
      <c r="B79" s="14">
        <v>1</v>
      </c>
      <c r="C79" s="31">
        <v>0</v>
      </c>
      <c r="D79" s="31">
        <v>0</v>
      </c>
      <c r="E79" s="31">
        <v>0</v>
      </c>
      <c r="F79" s="31">
        <v>0</v>
      </c>
      <c r="G79" s="31">
        <v>0</v>
      </c>
      <c r="H79" s="31">
        <v>0</v>
      </c>
      <c r="I79" s="31">
        <v>0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12"/>
      <c r="R79" s="14">
        <v>1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</row>
    <row r="80" spans="2:31" x14ac:dyDescent="0.3">
      <c r="B80" s="14">
        <v>2</v>
      </c>
      <c r="C80" s="31">
        <v>0</v>
      </c>
      <c r="D80" s="31">
        <v>0</v>
      </c>
      <c r="E80" s="31">
        <v>0</v>
      </c>
      <c r="F80" s="31">
        <v>0</v>
      </c>
      <c r="G80" s="31">
        <v>0</v>
      </c>
      <c r="H80" s="31">
        <v>0</v>
      </c>
      <c r="I80" s="31">
        <v>0</v>
      </c>
      <c r="J80" s="31">
        <v>0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12"/>
      <c r="R80" s="14">
        <v>2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</row>
    <row r="81" spans="2:31" x14ac:dyDescent="0.3">
      <c r="B81" s="14">
        <v>3</v>
      </c>
      <c r="C81" s="31">
        <v>0</v>
      </c>
      <c r="D81" s="31">
        <v>0</v>
      </c>
      <c r="E81" s="31">
        <v>0</v>
      </c>
      <c r="F81" s="31">
        <v>0</v>
      </c>
      <c r="G81" s="31">
        <v>0</v>
      </c>
      <c r="H81" s="31">
        <v>0</v>
      </c>
      <c r="I81" s="31">
        <v>229</v>
      </c>
      <c r="J81" s="31">
        <v>0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12"/>
      <c r="R81" s="14">
        <v>3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233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</row>
    <row r="82" spans="2:31" x14ac:dyDescent="0.3">
      <c r="B82" s="14">
        <v>4</v>
      </c>
      <c r="C82" s="31">
        <v>0</v>
      </c>
      <c r="D82" s="31">
        <v>0</v>
      </c>
      <c r="E82" s="31">
        <v>0</v>
      </c>
      <c r="F82" s="31">
        <v>0</v>
      </c>
      <c r="G82" s="31">
        <v>0</v>
      </c>
      <c r="H82" s="31">
        <v>0</v>
      </c>
      <c r="I82" s="31">
        <v>144</v>
      </c>
      <c r="J82" s="31">
        <v>0</v>
      </c>
      <c r="K82" s="31">
        <v>99</v>
      </c>
      <c r="L82" s="31">
        <v>142</v>
      </c>
      <c r="M82" s="31">
        <v>0</v>
      </c>
      <c r="N82" s="31">
        <v>0</v>
      </c>
      <c r="O82" s="31">
        <v>0</v>
      </c>
      <c r="P82" s="12"/>
      <c r="R82" s="14">
        <v>4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</row>
    <row r="83" spans="2:31" x14ac:dyDescent="0.3">
      <c r="B83" s="14">
        <v>5</v>
      </c>
      <c r="C83" s="31">
        <v>0</v>
      </c>
      <c r="D83" s="31">
        <v>0</v>
      </c>
      <c r="E83" s="31">
        <v>0</v>
      </c>
      <c r="F83" s="31">
        <v>146</v>
      </c>
      <c r="G83" s="31">
        <v>179</v>
      </c>
      <c r="H83" s="31">
        <v>0</v>
      </c>
      <c r="I83" s="31">
        <v>0</v>
      </c>
      <c r="J83" s="31">
        <v>0</v>
      </c>
      <c r="K83" s="31">
        <v>150</v>
      </c>
      <c r="L83" s="31">
        <v>255</v>
      </c>
      <c r="M83" s="31">
        <v>124</v>
      </c>
      <c r="N83" s="31">
        <v>0</v>
      </c>
      <c r="O83" s="31">
        <v>0</v>
      </c>
      <c r="P83" s="12"/>
      <c r="R83" s="14">
        <v>5</v>
      </c>
      <c r="S83" s="31">
        <v>0</v>
      </c>
      <c r="T83" s="31">
        <v>0</v>
      </c>
      <c r="U83" s="31">
        <v>0</v>
      </c>
      <c r="V83" s="31">
        <v>0</v>
      </c>
      <c r="W83" s="31">
        <v>179</v>
      </c>
      <c r="X83" s="31">
        <v>0</v>
      </c>
      <c r="Y83" s="31">
        <v>0</v>
      </c>
      <c r="Z83" s="31">
        <v>0</v>
      </c>
      <c r="AA83" s="31">
        <v>0</v>
      </c>
      <c r="AB83" s="31">
        <v>255</v>
      </c>
      <c r="AC83" s="31">
        <v>0</v>
      </c>
      <c r="AD83" s="31">
        <v>0</v>
      </c>
      <c r="AE83" s="31">
        <v>0</v>
      </c>
    </row>
    <row r="84" spans="2:31" x14ac:dyDescent="0.3">
      <c r="B84" s="14">
        <v>6</v>
      </c>
      <c r="C84" s="31">
        <v>0</v>
      </c>
      <c r="D84" s="31">
        <v>0</v>
      </c>
      <c r="E84" s="31">
        <v>0</v>
      </c>
      <c r="F84" s="31">
        <v>0</v>
      </c>
      <c r="G84" s="31">
        <v>115</v>
      </c>
      <c r="H84" s="31">
        <v>0</v>
      </c>
      <c r="I84" s="31">
        <v>0</v>
      </c>
      <c r="J84" s="31">
        <v>0</v>
      </c>
      <c r="K84" s="31">
        <v>0</v>
      </c>
      <c r="L84" s="31">
        <v>136</v>
      </c>
      <c r="M84" s="31">
        <v>0</v>
      </c>
      <c r="N84" s="31">
        <v>0</v>
      </c>
      <c r="O84" s="31">
        <v>0</v>
      </c>
      <c r="P84" s="12"/>
      <c r="R84" s="14">
        <v>6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</row>
    <row r="85" spans="2:31" x14ac:dyDescent="0.3">
      <c r="B85" s="14">
        <v>7</v>
      </c>
      <c r="C85" s="31">
        <v>0</v>
      </c>
      <c r="D85" s="31">
        <v>0</v>
      </c>
      <c r="E85" s="31">
        <v>0</v>
      </c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12"/>
      <c r="R85" s="14">
        <v>7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</row>
    <row r="86" spans="2:31" x14ac:dyDescent="0.3">
      <c r="B86" s="14">
        <v>8</v>
      </c>
      <c r="C86" s="31">
        <v>0</v>
      </c>
      <c r="D86" s="31">
        <v>0</v>
      </c>
      <c r="E86" s="31">
        <v>0</v>
      </c>
      <c r="F86" s="31">
        <v>0</v>
      </c>
      <c r="G86" s="31">
        <v>0</v>
      </c>
      <c r="H86" s="31">
        <v>0</v>
      </c>
      <c r="I86" s="31">
        <v>0</v>
      </c>
      <c r="J86" s="31">
        <v>0</v>
      </c>
      <c r="K86" s="31">
        <v>0</v>
      </c>
      <c r="L86" s="31">
        <v>0</v>
      </c>
      <c r="M86" s="31">
        <v>0</v>
      </c>
      <c r="N86" s="31">
        <v>0</v>
      </c>
      <c r="O86" s="31">
        <v>0</v>
      </c>
      <c r="P86" s="12"/>
      <c r="R86" s="14">
        <v>8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</row>
    <row r="87" spans="2:31" x14ac:dyDescent="0.3">
      <c r="B87" s="14">
        <v>9</v>
      </c>
      <c r="C87" s="31">
        <v>0</v>
      </c>
      <c r="D87" s="31">
        <v>0</v>
      </c>
      <c r="E87" s="31">
        <v>0</v>
      </c>
      <c r="F87" s="31">
        <v>0</v>
      </c>
      <c r="G87" s="31">
        <v>0</v>
      </c>
      <c r="H87" s="31">
        <v>0</v>
      </c>
      <c r="I87" s="31">
        <v>0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12"/>
      <c r="R87" s="14">
        <v>9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</row>
    <row r="88" spans="2:31" x14ac:dyDescent="0.3">
      <c r="B88" s="14">
        <v>10</v>
      </c>
      <c r="C88" s="31">
        <v>0</v>
      </c>
      <c r="D88" s="31">
        <v>0</v>
      </c>
      <c r="E88" s="31">
        <v>0</v>
      </c>
      <c r="F88" s="31">
        <v>106</v>
      </c>
      <c r="G88" s="31">
        <v>206</v>
      </c>
      <c r="H88" s="31">
        <v>141</v>
      </c>
      <c r="I88" s="31">
        <v>0</v>
      </c>
      <c r="J88" s="31">
        <v>0</v>
      </c>
      <c r="K88" s="31">
        <v>117</v>
      </c>
      <c r="L88" s="31">
        <v>170</v>
      </c>
      <c r="M88" s="31">
        <v>0</v>
      </c>
      <c r="N88" s="31">
        <v>0</v>
      </c>
      <c r="O88" s="31">
        <v>0</v>
      </c>
      <c r="P88" s="12"/>
      <c r="R88" s="14">
        <v>10</v>
      </c>
      <c r="S88" s="31">
        <v>0</v>
      </c>
      <c r="T88" s="31">
        <v>0</v>
      </c>
      <c r="U88" s="31">
        <v>0</v>
      </c>
      <c r="V88" s="31">
        <v>0</v>
      </c>
      <c r="W88" s="31">
        <v>206</v>
      </c>
      <c r="X88" s="31">
        <v>0</v>
      </c>
      <c r="Y88" s="31">
        <v>0</v>
      </c>
      <c r="Z88" s="31">
        <v>0</v>
      </c>
      <c r="AA88" s="31">
        <v>0</v>
      </c>
      <c r="AB88" s="31">
        <v>170</v>
      </c>
      <c r="AC88" s="31">
        <v>0</v>
      </c>
      <c r="AD88" s="31">
        <v>0</v>
      </c>
      <c r="AE88" s="31">
        <v>0</v>
      </c>
    </row>
    <row r="89" spans="2:31" x14ac:dyDescent="0.3">
      <c r="B89" s="14">
        <v>11</v>
      </c>
      <c r="C89" s="31">
        <v>0</v>
      </c>
      <c r="D89" s="31">
        <v>0</v>
      </c>
      <c r="E89" s="31">
        <v>0</v>
      </c>
      <c r="F89" s="31">
        <v>119</v>
      </c>
      <c r="G89" s="31">
        <v>133</v>
      </c>
      <c r="H89" s="31">
        <v>0</v>
      </c>
      <c r="I89" s="31">
        <v>0</v>
      </c>
      <c r="J89" s="31">
        <v>0</v>
      </c>
      <c r="K89" s="31">
        <v>0</v>
      </c>
      <c r="L89" s="31">
        <v>99</v>
      </c>
      <c r="M89" s="31">
        <v>0</v>
      </c>
      <c r="N89" s="31">
        <v>0</v>
      </c>
      <c r="O89" s="31">
        <v>0</v>
      </c>
      <c r="P89" s="12"/>
      <c r="R89" s="14">
        <v>11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</row>
    <row r="90" spans="2:31" x14ac:dyDescent="0.3">
      <c r="B90" s="14">
        <v>12</v>
      </c>
      <c r="C90" s="31">
        <v>0</v>
      </c>
      <c r="D90" s="31">
        <v>0</v>
      </c>
      <c r="E90" s="31">
        <v>0</v>
      </c>
      <c r="F90" s="31">
        <v>0</v>
      </c>
      <c r="G90" s="31">
        <v>0</v>
      </c>
      <c r="H90" s="31">
        <v>0</v>
      </c>
      <c r="I90" s="31">
        <v>0</v>
      </c>
      <c r="J90" s="31">
        <v>0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12"/>
      <c r="R90" s="14">
        <v>12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</row>
  </sheetData>
  <sheetProtection algorithmName="SHA-512" hashValue="8FmtGQ3AKVgDQWzlmKMKuftzFbU+8NMVB8VlgtQLSb9L32xzGS/7PdbOQX8DOGkixrz54HDc+63sr3YHcytI1g==" saltValue="MhljMhr4rS+zJaanW2W/UA==" spinCount="100000" sheet="1" objects="1" scenarios="1"/>
  <mergeCells count="1">
    <mergeCell ref="C4:D4"/>
  </mergeCells>
  <conditionalFormatting sqref="G3:S15">
    <cfRule type="cellIs" dxfId="50" priority="13" operator="equal">
      <formula>0</formula>
    </cfRule>
  </conditionalFormatting>
  <conditionalFormatting sqref="C27:O39">
    <cfRule type="cellIs" dxfId="49" priority="12" operator="equal">
      <formula>0</formula>
    </cfRule>
  </conditionalFormatting>
  <conditionalFormatting sqref="S27:AE39">
    <cfRule type="cellIs" dxfId="48" priority="10" operator="equal">
      <formula>0</formula>
    </cfRule>
  </conditionalFormatting>
  <conditionalFormatting sqref="AI27:AU39">
    <cfRule type="cellIs" dxfId="47" priority="8" operator="equal">
      <formula>0</formula>
    </cfRule>
  </conditionalFormatting>
  <conditionalFormatting sqref="C44:O56">
    <cfRule type="cellIs" dxfId="46" priority="7" operator="equal">
      <formula>0</formula>
    </cfRule>
  </conditionalFormatting>
  <conditionalFormatting sqref="S44:AE56">
    <cfRule type="cellIs" dxfId="45" priority="5" operator="equal">
      <formula>0</formula>
    </cfRule>
  </conditionalFormatting>
  <conditionalFormatting sqref="C61:O73">
    <cfRule type="cellIs" dxfId="44" priority="4" operator="equal">
      <formula>0</formula>
    </cfRule>
  </conditionalFormatting>
  <conditionalFormatting sqref="S61:AE73">
    <cfRule type="cellIs" dxfId="43" priority="3" operator="equal">
      <formula>0</formula>
    </cfRule>
  </conditionalFormatting>
  <conditionalFormatting sqref="C78:O90">
    <cfRule type="cellIs" dxfId="42" priority="2" operator="equal">
      <formula>0</formula>
    </cfRule>
  </conditionalFormatting>
  <conditionalFormatting sqref="S78:AE90">
    <cfRule type="cellIs" dxfId="41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3418-D5C9-4C4A-AE3A-95258E9233B4}">
  <sheetPr codeName="Sheet1"/>
  <dimension ref="A1:AY87"/>
  <sheetViews>
    <sheetView topLeftCell="A6" zoomScale="145" zoomScaleNormal="145" workbookViewId="0">
      <selection activeCell="C4" sqref="C4:D4"/>
    </sheetView>
  </sheetViews>
  <sheetFormatPr defaultColWidth="6" defaultRowHeight="14.4" x14ac:dyDescent="0.3"/>
  <cols>
    <col min="1" max="4" width="6" style="1"/>
    <col min="5" max="5" width="3.33203125" style="1" customWidth="1"/>
    <col min="6" max="21" width="6" style="1"/>
    <col min="22" max="23" width="0" style="1" hidden="1" customWidth="1"/>
    <col min="24" max="24" width="9" style="1" hidden="1" customWidth="1"/>
    <col min="25" max="35" width="0" style="1" hidden="1" customWidth="1"/>
    <col min="36" max="36" width="7.109375" style="1" hidden="1" customWidth="1"/>
    <col min="37" max="37" width="0" style="1" hidden="1" customWidth="1"/>
    <col min="38" max="16384" width="6" style="1"/>
  </cols>
  <sheetData>
    <row r="1" spans="1:51" x14ac:dyDescent="0.3">
      <c r="AL1" s="5"/>
    </row>
    <row r="2" spans="1:51" x14ac:dyDescent="0.3">
      <c r="F2" s="5"/>
      <c r="G2" s="5">
        <v>0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W2" s="5"/>
      <c r="X2" s="5">
        <v>4</v>
      </c>
      <c r="Y2" s="5">
        <v>6</v>
      </c>
      <c r="Z2" s="5">
        <v>5</v>
      </c>
      <c r="AA2" s="5">
        <v>7</v>
      </c>
      <c r="AB2" s="5">
        <v>5</v>
      </c>
      <c r="AC2" s="5">
        <v>5</v>
      </c>
      <c r="AD2" s="5">
        <v>7</v>
      </c>
      <c r="AE2" s="5">
        <v>6</v>
      </c>
      <c r="AF2" s="5">
        <v>5</v>
      </c>
      <c r="AG2" s="5">
        <v>5</v>
      </c>
      <c r="AH2" s="5">
        <v>4</v>
      </c>
      <c r="AI2" s="5">
        <v>5</v>
      </c>
      <c r="AJ2" s="5">
        <v>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</row>
    <row r="3" spans="1:51" ht="18" x14ac:dyDescent="0.3">
      <c r="F3" s="5">
        <v>0</v>
      </c>
      <c r="G3" s="3">
        <f>VLOOKUP(H72,'Gen Image'!$M$39:$R$43,6,FALSE)+X4</f>
        <v>65</v>
      </c>
      <c r="H3" s="3">
        <f>VLOOKUP(I72,'Gen Image'!$M$39:$R$43,6,FALSE)+Y4</f>
        <v>70</v>
      </c>
      <c r="I3" s="3">
        <f>VLOOKUP(J72,'Gen Image'!$M$39:$R$43,6,FALSE)+Z4</f>
        <v>69</v>
      </c>
      <c r="J3" s="3">
        <f>VLOOKUP(K72,'Gen Image'!$M$39:$R$43,6,FALSE)+AA4</f>
        <v>69</v>
      </c>
      <c r="K3" s="3">
        <f>VLOOKUP(L72,'Gen Image'!$M$39:$R$43,6,FALSE)+AB4</f>
        <v>65</v>
      </c>
      <c r="L3" s="3">
        <f>VLOOKUP(M72,'Gen Image'!$M$39:$R$43,6,FALSE)+AC4</f>
        <v>65</v>
      </c>
      <c r="M3" s="3">
        <f>VLOOKUP(N72,'Gen Image'!$M$39:$R$43,6,FALSE)+AD4</f>
        <v>35</v>
      </c>
      <c r="N3" s="3">
        <f>VLOOKUP(O72,'Gen Image'!$M$39:$R$43,6,FALSE)+AE4</f>
        <v>36</v>
      </c>
      <c r="O3" s="3">
        <f>VLOOKUP(P72,'Gen Image'!$M$39:$R$43,6,FALSE)+AF4</f>
        <v>35</v>
      </c>
      <c r="P3" s="3">
        <f>VLOOKUP(Q72,'Gen Image'!$M$39:$R$43,6,FALSE)+AG4</f>
        <v>34</v>
      </c>
      <c r="Q3" s="3">
        <f>VLOOKUP(R72,'Gen Image'!$M$39:$R$43,6,FALSE)+AH4</f>
        <v>37</v>
      </c>
      <c r="R3" s="3">
        <f>VLOOKUP(S72,'Gen Image'!$M$39:$R$43,6,FALSE)+AI4</f>
        <v>38</v>
      </c>
      <c r="S3" s="3">
        <f>VLOOKUP(T72,'Gen Image'!$M$39:$R$43,6,FALSE)+AJ4</f>
        <v>35</v>
      </c>
      <c r="W3" s="5"/>
      <c r="X3" s="5">
        <v>0</v>
      </c>
      <c r="Y3" s="5">
        <v>1</v>
      </c>
      <c r="Z3" s="5">
        <v>2</v>
      </c>
      <c r="AA3" s="5">
        <v>3</v>
      </c>
      <c r="AB3" s="5">
        <v>4</v>
      </c>
      <c r="AC3" s="5">
        <v>5</v>
      </c>
      <c r="AD3" s="5">
        <v>6</v>
      </c>
      <c r="AE3" s="5">
        <v>7</v>
      </c>
      <c r="AF3" s="5">
        <v>8</v>
      </c>
      <c r="AG3" s="5">
        <v>9</v>
      </c>
      <c r="AH3" s="5">
        <v>10</v>
      </c>
      <c r="AI3" s="5">
        <v>11</v>
      </c>
      <c r="AJ3" s="5">
        <v>12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</row>
    <row r="4" spans="1:51" ht="18" x14ac:dyDescent="0.3">
      <c r="A4" s="24"/>
      <c r="B4" s="24" t="s">
        <v>0</v>
      </c>
      <c r="C4" s="44">
        <f>'Put you Data'!C4</f>
        <v>2007090</v>
      </c>
      <c r="D4" s="44"/>
      <c r="F4" s="5">
        <v>1</v>
      </c>
      <c r="G4" s="3">
        <f>VLOOKUP(H73,'Gen Image'!$M$39:$R$43,6,FALSE)+X5</f>
        <v>68</v>
      </c>
      <c r="H4" s="3">
        <f>VLOOKUP(I73,'Gen Image'!$M$39:$R$43,6,FALSE)+Y5</f>
        <v>66</v>
      </c>
      <c r="I4" s="3">
        <f>VLOOKUP(J73,'Gen Image'!$M$39:$R$43,6,FALSE)+Z5</f>
        <v>66</v>
      </c>
      <c r="J4" s="3">
        <f>VLOOKUP(K73,'Gen Image'!$M$39:$R$43,6,FALSE)+AA5</f>
        <v>66</v>
      </c>
      <c r="K4" s="3">
        <f>VLOOKUP(L73,'Gen Image'!$M$39:$R$43,6,FALSE)+AB5</f>
        <v>68</v>
      </c>
      <c r="L4" s="3">
        <f>VLOOKUP(M73,'Gen Image'!$M$39:$R$43,6,FALSE)+AC5</f>
        <v>67</v>
      </c>
      <c r="M4" s="3">
        <f>VLOOKUP(N73,'Gen Image'!$M$39:$R$43,6,FALSE)+AD5</f>
        <v>36</v>
      </c>
      <c r="N4" s="3">
        <f>VLOOKUP(O73,'Gen Image'!$M$39:$R$43,6,FALSE)+AE5</f>
        <v>35</v>
      </c>
      <c r="O4" s="3">
        <f>VLOOKUP(P73,'Gen Image'!$M$39:$R$43,6,FALSE)+AF5</f>
        <v>35</v>
      </c>
      <c r="P4" s="3">
        <f>VLOOKUP(Q73,'Gen Image'!$M$39:$R$43,6,FALSE)+AG5</f>
        <v>36</v>
      </c>
      <c r="Q4" s="3">
        <f>VLOOKUP(R73,'Gen Image'!$M$39:$R$43,6,FALSE)+AH5</f>
        <v>36</v>
      </c>
      <c r="R4" s="3">
        <f>VLOOKUP(S73,'Gen Image'!$M$39:$R$43,6,FALSE)+AI5</f>
        <v>34</v>
      </c>
      <c r="S4" s="3">
        <f>VLOOKUP(T73,'Gen Image'!$M$39:$R$43,6,FALSE)+AJ5</f>
        <v>35</v>
      </c>
      <c r="W4" s="5">
        <v>0</v>
      </c>
      <c r="X4" s="3">
        <f>MOD(ROUNDDOWN('Gen Image'!M23*M21/3,0),X$2)+AE21</f>
        <v>1</v>
      </c>
      <c r="Y4" s="3">
        <f>MOD(ROUNDDOWN('Gen Image'!N23-N21/5,0),Y$2)+AF21</f>
        <v>6</v>
      </c>
      <c r="Z4" s="3">
        <f>MOD(ROUNDDOWN('Gen Image'!O23+O22/3,0),Z$2)+AG21</f>
        <v>5</v>
      </c>
      <c r="AA4" s="3">
        <f>MOD(ROUNDDOWN('Gen Image'!P23^(MOD(P22,4)+1),0),AA$2)+AH21</f>
        <v>5</v>
      </c>
      <c r="AB4" s="3">
        <f>MOD(ROUNDDOWN('Gen Image'!Q23^(MOD(Q21,4)+1),0),AB$2)+AJ21</f>
        <v>1</v>
      </c>
      <c r="AC4" s="3">
        <f>MOD(ROUNDDOWN('Gen Image'!R23*R22/9,0),AC$2)</f>
        <v>1</v>
      </c>
      <c r="AD4" s="3">
        <f>MOD(ROUNDDOWN('Gen Image'!S23*S21,0),AD$2)+AK21</f>
        <v>2</v>
      </c>
      <c r="AE4" s="3">
        <f>MOD(ROUNDDOWN('Gen Image'!T23+T21,0),AE$2)+AL21</f>
        <v>3</v>
      </c>
      <c r="AF4" s="3">
        <f>MOD(ROUNDDOWN('Gen Image'!U23*U22/3,0),AF$2)+AM21</f>
        <v>2</v>
      </c>
      <c r="AG4" s="3">
        <f>MOD(ROUNDDOWN('Gen Image'!V23*V22/9,0),AG$2)+AN21</f>
        <v>1</v>
      </c>
      <c r="AH4" s="3">
        <f>MOD(ROUNDDOWN('Gen Image'!W23+W22,0),AH$2)+AO21</f>
        <v>4</v>
      </c>
      <c r="AI4" s="3">
        <f>MOD(ROUNDDOWN('Gen Image'!X23*X21/9,0),AI$2)+AP21</f>
        <v>5</v>
      </c>
      <c r="AJ4" s="3">
        <f>MOD(ROUNDDOWN('Gen Image'!Y23*Y22/4,0),AJ$2)+AQ21</f>
        <v>2</v>
      </c>
      <c r="AL4" s="5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</row>
    <row r="5" spans="1:51" ht="18" x14ac:dyDescent="0.3">
      <c r="F5" s="5">
        <v>2</v>
      </c>
      <c r="G5" s="3">
        <f>VLOOKUP(H74,'Gen Image'!$M$39:$R$43,6,FALSE)+X6</f>
        <v>67</v>
      </c>
      <c r="H5" s="3">
        <f>VLOOKUP(I74,'Gen Image'!$M$39:$R$43,6,FALSE)+Y6</f>
        <v>67</v>
      </c>
      <c r="I5" s="3">
        <f>VLOOKUP(J74,'Gen Image'!$M$39:$R$43,6,FALSE)+Z6</f>
        <v>65</v>
      </c>
      <c r="J5" s="3">
        <f>VLOOKUP(K74,'Gen Image'!$M$39:$R$43,6,FALSE)+AA6</f>
        <v>66</v>
      </c>
      <c r="K5" s="3">
        <f>VLOOKUP(L74,'Gen Image'!$M$39:$R$43,6,FALSE)+AB6</f>
        <v>64</v>
      </c>
      <c r="L5" s="3">
        <f>VLOOKUP(M74,'Gen Image'!$M$39:$R$43,6,FALSE)+AC6</f>
        <v>198</v>
      </c>
      <c r="M5" s="3">
        <f>VLOOKUP(N74,'Gen Image'!$M$39:$R$43,6,FALSE)+AD6</f>
        <v>35</v>
      </c>
      <c r="N5" s="3">
        <f>VLOOKUP(O74,'Gen Image'!$M$39:$R$43,6,FALSE)+AE6</f>
        <v>37</v>
      </c>
      <c r="O5" s="3">
        <f>VLOOKUP(P74,'Gen Image'!$M$39:$R$43,6,FALSE)+AF6</f>
        <v>35</v>
      </c>
      <c r="P5" s="3">
        <f>VLOOKUP(Q74,'Gen Image'!$M$39:$R$43,6,FALSE)+AG6</f>
        <v>34</v>
      </c>
      <c r="Q5" s="3">
        <f>VLOOKUP(R74,'Gen Image'!$M$39:$R$43,6,FALSE)+AH6</f>
        <v>34</v>
      </c>
      <c r="R5" s="3">
        <f>VLOOKUP(S74,'Gen Image'!$M$39:$R$43,6,FALSE)+AI6</f>
        <v>35</v>
      </c>
      <c r="S5" s="3">
        <f>VLOOKUP(T74,'Gen Image'!$M$39:$R$43,6,FALSE)+AJ6</f>
        <v>37</v>
      </c>
      <c r="W5" s="5">
        <v>1</v>
      </c>
      <c r="X5" s="3">
        <f>MOD(ROUNDDOWN('Gen Image'!M24*M22/3,0),X$2)+AE22</f>
        <v>4</v>
      </c>
      <c r="Y5" s="3">
        <f>MOD(ROUNDDOWN('Gen Image'!N24-N22/5,0),Y$2)+AF22</f>
        <v>2</v>
      </c>
      <c r="Z5" s="3">
        <f>MOD(ROUNDDOWN('Gen Image'!O24+O23/3,0),Z$2)+AG22</f>
        <v>2</v>
      </c>
      <c r="AA5" s="3">
        <f>MOD(ROUNDDOWN('Gen Image'!P24^(MOD(P23,4)+1),0),AA$2)+AH22</f>
        <v>2</v>
      </c>
      <c r="AB5" s="3">
        <f>MOD(ROUNDDOWN('Gen Image'!Q24^(MOD(Q23,4)+1),0),AB$2)</f>
        <v>4</v>
      </c>
      <c r="AC5" s="3">
        <f>MOD(ROUNDDOWN('Gen Image'!R24*R23/9,0),AC$2)</f>
        <v>3</v>
      </c>
      <c r="AD5" s="3">
        <f>MOD(ROUNDDOWN('Gen Image'!S24*S22,0),AD$2)+AK22</f>
        <v>3</v>
      </c>
      <c r="AE5" s="3">
        <f>MOD(ROUNDDOWN('Gen Image'!T24+T22,0),AE$2)+AL22</f>
        <v>2</v>
      </c>
      <c r="AF5" s="3">
        <f>MOD(ROUNDDOWN('Gen Image'!U24*U23/3,0),AF$2)+AM22</f>
        <v>2</v>
      </c>
      <c r="AG5" s="3">
        <f>MOD(ROUNDDOWN('Gen Image'!V24*V23/9,0),AG$2)+AN22</f>
        <v>3</v>
      </c>
      <c r="AH5" s="3">
        <f>MOD(ROUNDDOWN('Gen Image'!W24+W23,0),AH$2)+AO22</f>
        <v>3</v>
      </c>
      <c r="AI5" s="3">
        <f>MOD(ROUNDDOWN('Gen Image'!X24*X22/9,0),AI$2)+AP22</f>
        <v>1</v>
      </c>
      <c r="AJ5" s="3">
        <f>MOD(ROUNDDOWN('Gen Image'!Y24*Y23/4,0),AJ$2)+AQ22</f>
        <v>2</v>
      </c>
      <c r="AL5" s="5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</row>
    <row r="6" spans="1:51" ht="18" x14ac:dyDescent="0.3">
      <c r="F6" s="5">
        <v>3</v>
      </c>
      <c r="G6" s="3">
        <f>VLOOKUP(H75,'Gen Image'!$M$39:$R$43,6,FALSE)+X7</f>
        <v>64</v>
      </c>
      <c r="H6" s="3">
        <f>VLOOKUP(I75,'Gen Image'!$M$39:$R$43,6,FALSE)+Y7</f>
        <v>69</v>
      </c>
      <c r="I6" s="3">
        <f>VLOOKUP(J75,'Gen Image'!$M$39:$R$43,6,FALSE)+Z7</f>
        <v>68</v>
      </c>
      <c r="J6" s="3">
        <f>VLOOKUP(K75,'Gen Image'!$M$39:$R$43,6,FALSE)+AA7</f>
        <v>66</v>
      </c>
      <c r="K6" s="3">
        <f>VLOOKUP(L75,'Gen Image'!$M$39:$R$43,6,FALSE)+AB7</f>
        <v>201</v>
      </c>
      <c r="L6" s="3">
        <f>VLOOKUP(M75,'Gen Image'!$M$39:$R$43,6,FALSE)+AC7</f>
        <v>199</v>
      </c>
      <c r="M6" s="3">
        <f>VLOOKUP(N75,'Gen Image'!$M$39:$R$43,6,FALSE)+AD7</f>
        <v>198</v>
      </c>
      <c r="N6" s="3">
        <f>VLOOKUP(O75,'Gen Image'!$M$39:$R$43,6,FALSE)+AE7</f>
        <v>36</v>
      </c>
      <c r="O6" s="3">
        <f>VLOOKUP(P75,'Gen Image'!$M$39:$R$43,6,FALSE)+AF7</f>
        <v>35</v>
      </c>
      <c r="P6" s="3">
        <f>VLOOKUP(Q75,'Gen Image'!$M$39:$R$43,6,FALSE)+AG7</f>
        <v>38</v>
      </c>
      <c r="Q6" s="3">
        <f>VLOOKUP(R75,'Gen Image'!$M$39:$R$43,6,FALSE)+AH7</f>
        <v>35</v>
      </c>
      <c r="R6" s="3">
        <f>VLOOKUP(S75,'Gen Image'!$M$39:$R$43,6,FALSE)+AI7</f>
        <v>38</v>
      </c>
      <c r="S6" s="3">
        <f>VLOOKUP(T75,'Gen Image'!$M$39:$R$43,6,FALSE)+AJ7</f>
        <v>36</v>
      </c>
      <c r="W6" s="5">
        <v>2</v>
      </c>
      <c r="X6" s="3">
        <f>MOD(ROUNDDOWN('Gen Image'!M25*M23/3,0),X$2)+AE23</f>
        <v>3</v>
      </c>
      <c r="Y6" s="3">
        <f>MOD(ROUNDDOWN('Gen Image'!N25-N23/5,0),Y$2)+AF23</f>
        <v>3</v>
      </c>
      <c r="Z6" s="3">
        <f>MOD(ROUNDDOWN('Gen Image'!O25+O24/3,0),Z$2)+AG23</f>
        <v>1</v>
      </c>
      <c r="AA6" s="3">
        <f>MOD(ROUNDDOWN('Gen Image'!P25^(MOD(P24,4)+1),0),AA$2)+AH23</f>
        <v>2</v>
      </c>
      <c r="AB6" s="3">
        <f>MOD(ROUNDDOWN('Gen Image'!Q25^(MOD(Q24,4)+1),0),AB$2)</f>
        <v>0</v>
      </c>
      <c r="AC6" s="3">
        <f>MOD(ROUNDDOWN('Gen Image'!R25*R24/9,0),AC$2)</f>
        <v>1</v>
      </c>
      <c r="AD6" s="3">
        <f>MOD(ROUNDDOWN('Gen Image'!S25*S23,0),AD$2)+AK23</f>
        <v>2</v>
      </c>
      <c r="AE6" s="3">
        <f>MOD(ROUNDDOWN('Gen Image'!T25+T23,0),AE$2)+AL23</f>
        <v>4</v>
      </c>
      <c r="AF6" s="3">
        <f>MOD(ROUNDDOWN('Gen Image'!U25*U24/3,0),AF$2)+AM23</f>
        <v>2</v>
      </c>
      <c r="AG6" s="3">
        <f>MOD(ROUNDDOWN('Gen Image'!V25*V24/9,0),AG$2)+AN23</f>
        <v>1</v>
      </c>
      <c r="AH6" s="3">
        <f>MOD(ROUNDDOWN('Gen Image'!W25+W24,0),AH$2)+AO23</f>
        <v>1</v>
      </c>
      <c r="AI6" s="3">
        <f>MOD(ROUNDDOWN('Gen Image'!X25*X23/9,0),AI$2)+AP23</f>
        <v>2</v>
      </c>
      <c r="AJ6" s="3">
        <f>MOD(ROUNDDOWN('Gen Image'!Y25*Y24/4,0),AJ$2)+AQ23</f>
        <v>4</v>
      </c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</row>
    <row r="7" spans="1:51" ht="18" x14ac:dyDescent="0.3">
      <c r="F7" s="5">
        <v>4</v>
      </c>
      <c r="G7" s="3">
        <f>VLOOKUP(H76,'Gen Image'!$M$39:$R$43,6,FALSE)+X8</f>
        <v>67</v>
      </c>
      <c r="H7" s="3">
        <f>VLOOKUP(I76,'Gen Image'!$M$39:$R$43,6,FALSE)+Y8</f>
        <v>64</v>
      </c>
      <c r="I7" s="3">
        <f>VLOOKUP(J76,'Gen Image'!$M$39:$R$43,6,FALSE)+Z8</f>
        <v>64</v>
      </c>
      <c r="J7" s="3">
        <f>VLOOKUP(K76,'Gen Image'!$M$39:$R$43,6,FALSE)+AA8</f>
        <v>199</v>
      </c>
      <c r="K7" s="3">
        <f>VLOOKUP(L76,'Gen Image'!$M$39:$R$43,6,FALSE)+AB8</f>
        <v>198</v>
      </c>
      <c r="L7" s="3">
        <f>VLOOKUP(M76,'Gen Image'!$M$39:$R$43,6,FALSE)+AC8</f>
        <v>201</v>
      </c>
      <c r="M7" s="3">
        <f>VLOOKUP(N76,'Gen Image'!$M$39:$R$43,6,FALSE)+AD8</f>
        <v>202</v>
      </c>
      <c r="N7" s="3">
        <f>VLOOKUP(O76,'Gen Image'!$M$39:$R$43,6,FALSE)+AE8</f>
        <v>199</v>
      </c>
      <c r="O7" s="3">
        <f>VLOOKUP(P76,'Gen Image'!$M$39:$R$43,6,FALSE)+AF8</f>
        <v>200</v>
      </c>
      <c r="P7" s="3">
        <f>VLOOKUP(Q76,'Gen Image'!$M$39:$R$43,6,FALSE)+AG8</f>
        <v>36</v>
      </c>
      <c r="Q7" s="3">
        <f>VLOOKUP(R76,'Gen Image'!$M$39:$R$43,6,FALSE)+AH8</f>
        <v>33</v>
      </c>
      <c r="R7" s="3">
        <f>VLOOKUP(S76,'Gen Image'!$M$39:$R$43,6,FALSE)+AI8</f>
        <v>36</v>
      </c>
      <c r="S7" s="3">
        <f>VLOOKUP(T76,'Gen Image'!$M$39:$R$43,6,FALSE)+AJ8</f>
        <v>36</v>
      </c>
      <c r="W7" s="5">
        <v>3</v>
      </c>
      <c r="X7" s="3">
        <f>MOD(ROUNDDOWN('Gen Image'!M26*M24/3,0),X$2)+AE24</f>
        <v>0</v>
      </c>
      <c r="Y7" s="3">
        <f>MOD(ROUNDDOWN('Gen Image'!N26-N24/5,0),Y$2)+AF24</f>
        <v>5</v>
      </c>
      <c r="Z7" s="3">
        <f>MOD(ROUNDDOWN('Gen Image'!O26+O25/3,0),Z$2)+AG24</f>
        <v>4</v>
      </c>
      <c r="AA7" s="3">
        <f>MOD(ROUNDDOWN('Gen Image'!P26^(MOD(P25,4)+1),0),AA$2)+AH24</f>
        <v>2</v>
      </c>
      <c r="AB7" s="3">
        <f>MOD(ROUNDDOWN('Gen Image'!Q26^(MOD(Q25,4)+1),0),AB$2)</f>
        <v>4</v>
      </c>
      <c r="AC7" s="3">
        <f>MOD(ROUNDDOWN('Gen Image'!R26*R25/9,0),AC$2)</f>
        <v>2</v>
      </c>
      <c r="AD7" s="3">
        <f>MOD(ROUNDDOWN('Gen Image'!S26*S24,0),AD$2)+AK24</f>
        <v>1</v>
      </c>
      <c r="AE7" s="3">
        <f>MOD(ROUNDDOWN('Gen Image'!T26+T24,0),AE$2)+AL24</f>
        <v>3</v>
      </c>
      <c r="AF7" s="3">
        <f>MOD(ROUNDDOWN('Gen Image'!U26*U25/3,0),AF$2)+AM24</f>
        <v>2</v>
      </c>
      <c r="AG7" s="3">
        <f>MOD(ROUNDDOWN('Gen Image'!V26*V25/9,0),AG$2)+AN24</f>
        <v>5</v>
      </c>
      <c r="AH7" s="3">
        <f>MOD(ROUNDDOWN('Gen Image'!W26+W25,0),AH$2)+AO24</f>
        <v>2</v>
      </c>
      <c r="AI7" s="3">
        <f>MOD(ROUNDDOWN('Gen Image'!X26*X24/9,0),AI$2)+AP24</f>
        <v>5</v>
      </c>
      <c r="AJ7" s="3">
        <f>MOD(ROUNDDOWN('Gen Image'!Y26*Y25/4,0),AJ$2)+AQ24</f>
        <v>3</v>
      </c>
      <c r="AL7" s="5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</row>
    <row r="8" spans="1:51" ht="18" x14ac:dyDescent="0.3">
      <c r="F8" s="5">
        <v>5</v>
      </c>
      <c r="G8" s="3">
        <f>VLOOKUP(H77,'Gen Image'!$M$39:$R$43,6,FALSE)+X9</f>
        <v>20</v>
      </c>
      <c r="H8" s="3">
        <f>VLOOKUP(I77,'Gen Image'!$M$39:$R$43,6,FALSE)+Y9</f>
        <v>23</v>
      </c>
      <c r="I8" s="3">
        <f>VLOOKUP(J77,'Gen Image'!$M$39:$R$43,6,FALSE)+Z9</f>
        <v>20</v>
      </c>
      <c r="J8" s="3">
        <f>VLOOKUP(K77,'Gen Image'!$M$39:$R$43,6,FALSE)+AA9</f>
        <v>199</v>
      </c>
      <c r="K8" s="3">
        <f>VLOOKUP(L77,'Gen Image'!$M$39:$R$43,6,FALSE)+AB9</f>
        <v>197</v>
      </c>
      <c r="L8" s="3">
        <f>VLOOKUP(M77,'Gen Image'!$M$39:$R$43,6,FALSE)+AC9</f>
        <v>201</v>
      </c>
      <c r="M8" s="3">
        <f>VLOOKUP(N77,'Gen Image'!$M$39:$R$43,6,FALSE)+AD9</f>
        <v>198</v>
      </c>
      <c r="N8" s="3">
        <f>VLOOKUP(O77,'Gen Image'!$M$39:$R$43,6,FALSE)+AE9</f>
        <v>202</v>
      </c>
      <c r="O8" s="3">
        <f>VLOOKUP(P77,'Gen Image'!$M$39:$R$43,6,FALSE)+AF9</f>
        <v>197</v>
      </c>
      <c r="P8" s="3">
        <f>VLOOKUP(Q77,'Gen Image'!$M$39:$R$43,6,FALSE)+AG9</f>
        <v>35</v>
      </c>
      <c r="Q8" s="3">
        <f>VLOOKUP(R77,'Gen Image'!$M$39:$R$43,6,FALSE)+AH9</f>
        <v>34</v>
      </c>
      <c r="R8" s="3">
        <f>VLOOKUP(S77,'Gen Image'!$M$39:$R$43,6,FALSE)+AI9</f>
        <v>37</v>
      </c>
      <c r="S8" s="3">
        <f>VLOOKUP(T77,'Gen Image'!$M$39:$R$43,6,FALSE)+AJ9</f>
        <v>37</v>
      </c>
      <c r="W8" s="5">
        <v>4</v>
      </c>
      <c r="X8" s="3">
        <f>MOD(ROUNDDOWN('Gen Image'!M27*M25/3,0),X$2)+AE25</f>
        <v>3</v>
      </c>
      <c r="Y8" s="3">
        <f>MOD(ROUNDDOWN('Gen Image'!N27-N25/5,0),Y$2)+AF25</f>
        <v>0</v>
      </c>
      <c r="Z8" s="3">
        <f>MOD(ROUNDDOWN('Gen Image'!O27+O26/3,0),Z$2)+AG25</f>
        <v>0</v>
      </c>
      <c r="AA8" s="3">
        <f>MOD(ROUNDDOWN('Gen Image'!P27^(MOD(P26,4)+1),0),AA$2)+AH25</f>
        <v>2</v>
      </c>
      <c r="AB8" s="3">
        <f>MOD(ROUNDDOWN('Gen Image'!Q27^(MOD(Q26,4)+1),0),AB$2)</f>
        <v>1</v>
      </c>
      <c r="AC8" s="3">
        <f>MOD(ROUNDDOWN('Gen Image'!R27*R26/9,0),AC$2)</f>
        <v>4</v>
      </c>
      <c r="AD8" s="3">
        <f>MOD(ROUNDDOWN('Gen Image'!S27*S25,0),AD$2)+AK25</f>
        <v>5</v>
      </c>
      <c r="AE8" s="3">
        <f>MOD(ROUNDDOWN('Gen Image'!T27+T25,0),AE$2)+AL25</f>
        <v>2</v>
      </c>
      <c r="AF8" s="3">
        <f>MOD(ROUNDDOWN('Gen Image'!U27*U26/3,0),AF$2)+AM25</f>
        <v>3</v>
      </c>
      <c r="AG8" s="3">
        <f>MOD(ROUNDDOWN('Gen Image'!V27*V26/9,0),AG$2)+AN25</f>
        <v>3</v>
      </c>
      <c r="AH8" s="3">
        <f>MOD(ROUNDDOWN('Gen Image'!W27+W26,0),AH$2)+AO25</f>
        <v>0</v>
      </c>
      <c r="AI8" s="3">
        <f>MOD(ROUNDDOWN('Gen Image'!X27*X25/9,0),AI$2)+AP25</f>
        <v>3</v>
      </c>
      <c r="AJ8" s="3">
        <f>MOD(ROUNDDOWN('Gen Image'!Y27*Y26/4,0),AJ$2)+AQ25</f>
        <v>3</v>
      </c>
      <c r="AL8" s="5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</row>
    <row r="9" spans="1:51" ht="18" x14ac:dyDescent="0.3">
      <c r="F9" s="5">
        <v>6</v>
      </c>
      <c r="G9" s="3">
        <f>VLOOKUP(H78,'Gen Image'!$M$39:$R$43,6,FALSE)+X10</f>
        <v>22</v>
      </c>
      <c r="H9" s="3">
        <f>VLOOKUP(I78,'Gen Image'!$M$39:$R$43,6,FALSE)+Y10</f>
        <v>20</v>
      </c>
      <c r="I9" s="3">
        <f>VLOOKUP(J78,'Gen Image'!$M$39:$R$43,6,FALSE)+Z10</f>
        <v>22</v>
      </c>
      <c r="J9" s="3">
        <f>VLOOKUP(K78,'Gen Image'!$M$39:$R$43,6,FALSE)+AA10</f>
        <v>199</v>
      </c>
      <c r="K9" s="3">
        <f>VLOOKUP(L78,'Gen Image'!$M$39:$R$43,6,FALSE)+AB10</f>
        <v>199</v>
      </c>
      <c r="L9" s="3">
        <f>VLOOKUP(M78,'Gen Image'!$M$39:$R$43,6,FALSE)+AC10</f>
        <v>200</v>
      </c>
      <c r="M9" s="3">
        <f>VLOOKUP(N78,'Gen Image'!$M$39:$R$43,6,FALSE)+AD10</f>
        <v>197</v>
      </c>
      <c r="N9" s="3">
        <f>VLOOKUP(O78,'Gen Image'!$M$39:$R$43,6,FALSE)+AE10</f>
        <v>202</v>
      </c>
      <c r="O9" s="3">
        <f>VLOOKUP(P78,'Gen Image'!$M$39:$R$43,6,FALSE)+AF10</f>
        <v>201</v>
      </c>
      <c r="P9" s="3">
        <f>VLOOKUP(Q78,'Gen Image'!$M$39:$R$43,6,FALSE)+AG10</f>
        <v>33</v>
      </c>
      <c r="Q9" s="3">
        <f>VLOOKUP(R78,'Gen Image'!$M$39:$R$43,6,FALSE)+AH10</f>
        <v>34</v>
      </c>
      <c r="R9" s="3">
        <f>VLOOKUP(S78,'Gen Image'!$M$39:$R$43,6,FALSE)+AI10</f>
        <v>36</v>
      </c>
      <c r="S9" s="3">
        <f>VLOOKUP(T78,'Gen Image'!$M$39:$R$43,6,FALSE)+AJ10</f>
        <v>34</v>
      </c>
      <c r="W9" s="5">
        <v>5</v>
      </c>
      <c r="X9" s="3">
        <f>MOD(ROUNDDOWN('Gen Image'!M28*M26/3,0),X$2)+AE26</f>
        <v>1</v>
      </c>
      <c r="Y9" s="3">
        <f>MOD(ROUNDDOWN('Gen Image'!N28-N26/5,0),Y$2)+AF26</f>
        <v>4</v>
      </c>
      <c r="Z9" s="3">
        <f>MOD(ROUNDDOWN('Gen Image'!O28+O27/3,0),Z$2)+AG26</f>
        <v>1</v>
      </c>
      <c r="AA9" s="3">
        <f>MOD(ROUNDDOWN('Gen Image'!P28^(MOD(P27,4)+1),0),AA$2)+AH26</f>
        <v>2</v>
      </c>
      <c r="AB9" s="3">
        <f>MOD(ROUNDDOWN('Gen Image'!Q28^(MOD(Q27,4)+1),0),AB$2)</f>
        <v>0</v>
      </c>
      <c r="AC9" s="3">
        <f>MOD(ROUNDDOWN('Gen Image'!R28*R27/9,0),AC$2)</f>
        <v>4</v>
      </c>
      <c r="AD9" s="3">
        <f>MOD(ROUNDDOWN('Gen Image'!S28*S26,0),AD$2)+AK26</f>
        <v>1</v>
      </c>
      <c r="AE9" s="3">
        <f>MOD(ROUNDDOWN('Gen Image'!T28+T26,0),AE$2)+AL26</f>
        <v>5</v>
      </c>
      <c r="AF9" s="3">
        <f>MOD(ROUNDDOWN('Gen Image'!U28*U27/3,0),AF$2)+AM26</f>
        <v>0</v>
      </c>
      <c r="AG9" s="3">
        <f>MOD(ROUNDDOWN('Gen Image'!V28*V27/9,0),AG$2)+AN26</f>
        <v>2</v>
      </c>
      <c r="AH9" s="3">
        <f>MOD(ROUNDDOWN('Gen Image'!W28+W27,0),AH$2)+AO26</f>
        <v>1</v>
      </c>
      <c r="AI9" s="3">
        <f>MOD(ROUNDDOWN('Gen Image'!X28*X26/9,0),AI$2)+AP26</f>
        <v>4</v>
      </c>
      <c r="AJ9" s="3">
        <f>MOD(ROUNDDOWN('Gen Image'!Y28*Y27/4,0),AJ$2)+AQ26</f>
        <v>4</v>
      </c>
      <c r="AL9" s="5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</row>
    <row r="10" spans="1:51" ht="18" x14ac:dyDescent="0.3">
      <c r="F10" s="5">
        <v>7</v>
      </c>
      <c r="G10" s="3">
        <f>VLOOKUP(H79,'Gen Image'!$M$39:$R$43,6,FALSE)+X11</f>
        <v>19</v>
      </c>
      <c r="H10" s="3">
        <f>VLOOKUP(I79,'Gen Image'!$M$39:$R$43,6,FALSE)+Y11</f>
        <v>22</v>
      </c>
      <c r="I10" s="3">
        <f>VLOOKUP(J79,'Gen Image'!$M$39:$R$43,6,FALSE)+Z11</f>
        <v>20</v>
      </c>
      <c r="J10" s="3">
        <f>VLOOKUP(K79,'Gen Image'!$M$39:$R$43,6,FALSE)+AA11</f>
        <v>202</v>
      </c>
      <c r="K10" s="3">
        <f>VLOOKUP(L79,'Gen Image'!$M$39:$R$43,6,FALSE)+AB11</f>
        <v>200</v>
      </c>
      <c r="L10" s="3">
        <f>VLOOKUP(M79,'Gen Image'!$M$39:$R$43,6,FALSE)+AC11</f>
        <v>201</v>
      </c>
      <c r="M10" s="3">
        <f>VLOOKUP(N79,'Gen Image'!$M$39:$R$43,6,FALSE)+AD11</f>
        <v>198</v>
      </c>
      <c r="N10" s="3">
        <f>VLOOKUP(O79,'Gen Image'!$M$39:$R$43,6,FALSE)+AE11</f>
        <v>202</v>
      </c>
      <c r="O10" s="3">
        <f>VLOOKUP(P79,'Gen Image'!$M$39:$R$43,6,FALSE)+AF11</f>
        <v>201</v>
      </c>
      <c r="P10" s="3">
        <f>VLOOKUP(Q79,'Gen Image'!$M$39:$R$43,6,FALSE)+AG11</f>
        <v>36</v>
      </c>
      <c r="Q10" s="3">
        <f>VLOOKUP(R79,'Gen Image'!$M$39:$R$43,6,FALSE)+AH11</f>
        <v>37</v>
      </c>
      <c r="R10" s="3">
        <f>VLOOKUP(S79,'Gen Image'!$M$39:$R$43,6,FALSE)+AI11</f>
        <v>36</v>
      </c>
      <c r="S10" s="3">
        <f>VLOOKUP(T79,'Gen Image'!$M$39:$R$43,6,FALSE)+AJ11</f>
        <v>33</v>
      </c>
      <c r="W10" s="5">
        <v>6</v>
      </c>
      <c r="X10" s="3">
        <f>MOD(ROUNDDOWN('Gen Image'!M29*M27/3,0),X$2)+AE27</f>
        <v>3</v>
      </c>
      <c r="Y10" s="3">
        <f>MOD(ROUNDDOWN('Gen Image'!N29-N27/5,0),Y$2)+AF27</f>
        <v>1</v>
      </c>
      <c r="Z10" s="3">
        <f>MOD(ROUNDDOWN('Gen Image'!O29+O28/3,0),Z$2)+AG27</f>
        <v>3</v>
      </c>
      <c r="AA10" s="3">
        <f>MOD(ROUNDDOWN('Gen Image'!P29^(MOD(P28,4)+1),0),AA$2)+AH27</f>
        <v>2</v>
      </c>
      <c r="AB10" s="3">
        <f>MOD(ROUNDDOWN('Gen Image'!Q29^(MOD(Q28,4)+1),0),AB$2)</f>
        <v>2</v>
      </c>
      <c r="AC10" s="3">
        <f>MOD(ROUNDDOWN('Gen Image'!R29*R28/9,0),AC$2)</f>
        <v>3</v>
      </c>
      <c r="AD10" s="3">
        <f>MOD(ROUNDDOWN('Gen Image'!S29*S27,0),AD$2)+AK27</f>
        <v>0</v>
      </c>
      <c r="AE10" s="3">
        <f>MOD(ROUNDDOWN('Gen Image'!T29+T27,0),AE$2)+AL27</f>
        <v>5</v>
      </c>
      <c r="AF10" s="3">
        <f>MOD(ROUNDDOWN('Gen Image'!U29*U28/3,0),AF$2)+AM27</f>
        <v>4</v>
      </c>
      <c r="AG10" s="3">
        <f>MOD(ROUNDDOWN('Gen Image'!V29*V28/9,0),AG$2)+AN27</f>
        <v>0</v>
      </c>
      <c r="AH10" s="3">
        <f>MOD(ROUNDDOWN('Gen Image'!W29+W28,0),AH$2)+AO27</f>
        <v>1</v>
      </c>
      <c r="AI10" s="3">
        <f>MOD(ROUNDDOWN('Gen Image'!X29*X27/9,0),AI$2)+AP27</f>
        <v>3</v>
      </c>
      <c r="AJ10" s="3">
        <f>MOD(ROUNDDOWN('Gen Image'!Y29*Y28/4,0),AJ$2)+AQ27</f>
        <v>1</v>
      </c>
      <c r="AL10" s="5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</row>
    <row r="11" spans="1:51" ht="18" x14ac:dyDescent="0.3">
      <c r="F11" s="5">
        <v>8</v>
      </c>
      <c r="G11" s="3">
        <f>VLOOKUP(H80,'Gen Image'!$M$39:$R$43,6,FALSE)+X12</f>
        <v>20</v>
      </c>
      <c r="H11" s="3">
        <f>VLOOKUP(I80,'Gen Image'!$M$39:$R$43,6,FALSE)+Y12</f>
        <v>21</v>
      </c>
      <c r="I11" s="3">
        <f>VLOOKUP(J80,'Gen Image'!$M$39:$R$43,6,FALSE)+Z12</f>
        <v>23</v>
      </c>
      <c r="J11" s="3">
        <f>VLOOKUP(K80,'Gen Image'!$M$39:$R$43,6,FALSE)+AA12</f>
        <v>199</v>
      </c>
      <c r="K11" s="3">
        <f>VLOOKUP(L80,'Gen Image'!$M$39:$R$43,6,FALSE)+AB12</f>
        <v>200</v>
      </c>
      <c r="L11" s="3">
        <f>VLOOKUP(M80,'Gen Image'!$M$39:$R$43,6,FALSE)+AC12</f>
        <v>200</v>
      </c>
      <c r="M11" s="3">
        <f>VLOOKUP(N80,'Gen Image'!$M$39:$R$43,6,FALSE)+AD12</f>
        <v>197</v>
      </c>
      <c r="N11" s="3">
        <f>VLOOKUP(O80,'Gen Image'!$M$39:$R$43,6,FALSE)+AE12</f>
        <v>197</v>
      </c>
      <c r="O11" s="3">
        <f>VLOOKUP(P80,'Gen Image'!$M$39:$R$43,6,FALSE)+AF12</f>
        <v>201</v>
      </c>
      <c r="P11" s="3">
        <f>VLOOKUP(Q80,'Gen Image'!$M$39:$R$43,6,FALSE)+AG12</f>
        <v>34</v>
      </c>
      <c r="Q11" s="3">
        <f>VLOOKUP(R80,'Gen Image'!$M$39:$R$43,6,FALSE)+AH12</f>
        <v>36</v>
      </c>
      <c r="R11" s="3">
        <f>VLOOKUP(S80,'Gen Image'!$M$39:$R$43,6,FALSE)+AI12</f>
        <v>35</v>
      </c>
      <c r="S11" s="3">
        <f>VLOOKUP(T80,'Gen Image'!$M$39:$R$43,6,FALSE)+AJ12</f>
        <v>33</v>
      </c>
      <c r="W11" s="5">
        <v>7</v>
      </c>
      <c r="X11" s="3">
        <f>MOD(ROUNDDOWN('Gen Image'!M30*M28/3,0),X$2)+AE28</f>
        <v>0</v>
      </c>
      <c r="Y11" s="3">
        <f>MOD(ROUNDDOWN('Gen Image'!N30-N28/5,0),Y$2)+AF28</f>
        <v>3</v>
      </c>
      <c r="Z11" s="3">
        <f>MOD(ROUNDDOWN('Gen Image'!O30+O29/3,0),Z$2)+AG28</f>
        <v>1</v>
      </c>
      <c r="AA11" s="3">
        <f>MOD(ROUNDDOWN('Gen Image'!P30^(MOD(P29,4)+1),0),AA$2)+AH28</f>
        <v>5</v>
      </c>
      <c r="AB11" s="3">
        <f>MOD(ROUNDDOWN('Gen Image'!Q30^(MOD(Q29,4)+1),0),AB$2)</f>
        <v>3</v>
      </c>
      <c r="AC11" s="3">
        <f>MOD(ROUNDDOWN('Gen Image'!R30*R29/9,0),AC$2)</f>
        <v>4</v>
      </c>
      <c r="AD11" s="3">
        <f>MOD(ROUNDDOWN('Gen Image'!S30*S28,0),AD$2)+AK28</f>
        <v>1</v>
      </c>
      <c r="AE11" s="3">
        <f>MOD(ROUNDDOWN('Gen Image'!T30+T28,0),AE$2)+AL28</f>
        <v>5</v>
      </c>
      <c r="AF11" s="3">
        <f>MOD(ROUNDDOWN('Gen Image'!U30*U29/3,0),AF$2)+AM28</f>
        <v>4</v>
      </c>
      <c r="AG11" s="3">
        <f>MOD(ROUNDDOWN('Gen Image'!V30*V29/9,0),AG$2)+AN28</f>
        <v>3</v>
      </c>
      <c r="AH11" s="3">
        <f>MOD(ROUNDDOWN('Gen Image'!W30+W29,0),AH$2)+AO28</f>
        <v>4</v>
      </c>
      <c r="AI11" s="3">
        <f>MOD(ROUNDDOWN('Gen Image'!X30*X28/9,0),AI$2)+AP28</f>
        <v>3</v>
      </c>
      <c r="AJ11" s="3">
        <f>MOD(ROUNDDOWN('Gen Image'!Y30*Y29/4,0),AJ$2)+AQ28</f>
        <v>0</v>
      </c>
      <c r="AL11" s="5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</row>
    <row r="12" spans="1:51" ht="18" x14ac:dyDescent="0.3">
      <c r="F12" s="5">
        <v>9</v>
      </c>
      <c r="G12" s="3">
        <f>VLOOKUP(H81,'Gen Image'!$M$39:$R$43,6,FALSE)+X13</f>
        <v>21</v>
      </c>
      <c r="H12" s="3">
        <f>VLOOKUP(I81,'Gen Image'!$M$39:$R$43,6,FALSE)+Y13</f>
        <v>25</v>
      </c>
      <c r="I12" s="3">
        <f>VLOOKUP(J81,'Gen Image'!$M$39:$R$43,6,FALSE)+Z13</f>
        <v>21</v>
      </c>
      <c r="J12" s="3">
        <f>VLOOKUP(K81,'Gen Image'!$M$39:$R$43,6,FALSE)+AA13</f>
        <v>199</v>
      </c>
      <c r="K12" s="3">
        <f>VLOOKUP(L81,'Gen Image'!$M$39:$R$43,6,FALSE)+AB13</f>
        <v>197</v>
      </c>
      <c r="L12" s="3">
        <f>VLOOKUP(M81,'Gen Image'!$M$39:$R$43,6,FALSE)+AC13</f>
        <v>197</v>
      </c>
      <c r="M12" s="3">
        <f>VLOOKUP(N81,'Gen Image'!$M$39:$R$43,6,FALSE)+AD13</f>
        <v>198</v>
      </c>
      <c r="N12" s="3">
        <f>VLOOKUP(O81,'Gen Image'!$M$39:$R$43,6,FALSE)+AE13</f>
        <v>198</v>
      </c>
      <c r="O12" s="3">
        <f>VLOOKUP(P81,'Gen Image'!$M$39:$R$43,6,FALSE)+AF13</f>
        <v>197</v>
      </c>
      <c r="P12" s="3">
        <f>VLOOKUP(Q81,'Gen Image'!$M$39:$R$43,6,FALSE)+AG13</f>
        <v>34</v>
      </c>
      <c r="Q12" s="3">
        <f>VLOOKUP(R81,'Gen Image'!$M$39:$R$43,6,FALSE)+AH13</f>
        <v>35</v>
      </c>
      <c r="R12" s="3">
        <f>VLOOKUP(S81,'Gen Image'!$M$39:$R$43,6,FALSE)+AI13</f>
        <v>37</v>
      </c>
      <c r="S12" s="3">
        <f>VLOOKUP(T81,'Gen Image'!$M$39:$R$43,6,FALSE)+AJ13</f>
        <v>34</v>
      </c>
      <c r="W12" s="5">
        <v>8</v>
      </c>
      <c r="X12" s="3">
        <f>MOD(ROUNDDOWN('Gen Image'!M31*M29/3,0),X$2)+AE29</f>
        <v>1</v>
      </c>
      <c r="Y12" s="3">
        <f>MOD(ROUNDDOWN('Gen Image'!N31-N29/5,0),Y$2)+AF29</f>
        <v>2</v>
      </c>
      <c r="Z12" s="3">
        <f>MOD(ROUNDDOWN('Gen Image'!O31+O30/3,0),Z$2)+AG29</f>
        <v>4</v>
      </c>
      <c r="AA12" s="3">
        <f>MOD(ROUNDDOWN('Gen Image'!P31^(MOD(P30,4)+1),0),AA$2)+AH29</f>
        <v>2</v>
      </c>
      <c r="AB12" s="3">
        <f>MOD(ROUNDDOWN('Gen Image'!Q31^(MOD(Q30,4)+1),0),AB$2)</f>
        <v>3</v>
      </c>
      <c r="AC12" s="3">
        <f>MOD(ROUNDDOWN('Gen Image'!R31*R30/9,0),AC$2)</f>
        <v>3</v>
      </c>
      <c r="AD12" s="3">
        <f>MOD(ROUNDDOWN('Gen Image'!S31*S29,0),AD$2)+AK29</f>
        <v>0</v>
      </c>
      <c r="AE12" s="3">
        <f>MOD(ROUNDDOWN('Gen Image'!T31+T29,0),AE$2)+AL29</f>
        <v>0</v>
      </c>
      <c r="AF12" s="3">
        <f>MOD(ROUNDDOWN('Gen Image'!U31*U30/3,0),AF$2)+AM29</f>
        <v>4</v>
      </c>
      <c r="AG12" s="3">
        <f>MOD(ROUNDDOWN('Gen Image'!V31*V30/9,0),AG$2)+AN29</f>
        <v>1</v>
      </c>
      <c r="AH12" s="3">
        <f>MOD(ROUNDDOWN('Gen Image'!W31+W30,0),AH$2)+AO29</f>
        <v>3</v>
      </c>
      <c r="AI12" s="3">
        <f>MOD(ROUNDDOWN('Gen Image'!X31*X29/9,0),AI$2)+AP29</f>
        <v>2</v>
      </c>
      <c r="AJ12" s="3">
        <f>MOD(ROUNDDOWN('Gen Image'!Y31*Y30/4,0),AJ$2)+AQ29</f>
        <v>0</v>
      </c>
      <c r="AL12" s="5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</row>
    <row r="13" spans="1:51" ht="18" x14ac:dyDescent="0.3">
      <c r="F13" s="5">
        <v>10</v>
      </c>
      <c r="G13" s="3">
        <f>VLOOKUP(H82,'Gen Image'!$M$39:$R$43,6,FALSE)+X14</f>
        <v>23</v>
      </c>
      <c r="H13" s="3">
        <f>VLOOKUP(I82,'Gen Image'!$M$39:$R$43,6,FALSE)+Y14</f>
        <v>22</v>
      </c>
      <c r="I13" s="3">
        <f>VLOOKUP(J82,'Gen Image'!$M$39:$R$43,6,FALSE)+Z14</f>
        <v>23</v>
      </c>
      <c r="J13" s="3">
        <f>VLOOKUP(K82,'Gen Image'!$M$39:$R$43,6,FALSE)+AA14</f>
        <v>71</v>
      </c>
      <c r="K13" s="3">
        <f>VLOOKUP(L82,'Gen Image'!$M$39:$R$43,6,FALSE)+AB14</f>
        <v>70</v>
      </c>
      <c r="L13" s="3">
        <f>VLOOKUP(M82,'Gen Image'!$M$39:$R$43,6,FALSE)+AC14</f>
        <v>70</v>
      </c>
      <c r="M13" s="3">
        <f>VLOOKUP(N82,'Gen Image'!$M$39:$R$43,6,FALSE)+AD14</f>
        <v>72</v>
      </c>
      <c r="N13" s="3">
        <f>VLOOKUP(O82,'Gen Image'!$M$39:$R$43,6,FALSE)+AE14</f>
        <v>69</v>
      </c>
      <c r="O13" s="3">
        <f>VLOOKUP(P82,'Gen Image'!$M$39:$R$43,6,FALSE)+AF14</f>
        <v>70</v>
      </c>
      <c r="P13" s="3">
        <f>VLOOKUP(Q82,'Gen Image'!$M$39:$R$43,6,FALSE)+AG14</f>
        <v>34</v>
      </c>
      <c r="Q13" s="3">
        <f>VLOOKUP(R82,'Gen Image'!$M$39:$R$43,6,FALSE)+AH14</f>
        <v>37</v>
      </c>
      <c r="R13" s="3">
        <f>VLOOKUP(S82,'Gen Image'!$M$39:$R$43,6,FALSE)+AI14</f>
        <v>37</v>
      </c>
      <c r="S13" s="3">
        <f>VLOOKUP(T82,'Gen Image'!$M$39:$R$43,6,FALSE)+AJ14</f>
        <v>36</v>
      </c>
      <c r="W13" s="5">
        <v>9</v>
      </c>
      <c r="X13" s="3">
        <f>MOD(ROUNDDOWN('Gen Image'!M32*M30/3,0),X$2)+AE30</f>
        <v>2</v>
      </c>
      <c r="Y13" s="3">
        <f>MOD(ROUNDDOWN('Gen Image'!N32-N30/5,0),Y$2)+AF30</f>
        <v>6</v>
      </c>
      <c r="Z13" s="3">
        <f>MOD(ROUNDDOWN('Gen Image'!O32+O31/3,0),Z$2)+AG30</f>
        <v>2</v>
      </c>
      <c r="AA13" s="3">
        <f>MOD(ROUNDDOWN('Gen Image'!P32^(MOD(P31,4)+1),0),AA$2)+AH30</f>
        <v>2</v>
      </c>
      <c r="AB13" s="3">
        <f>MOD(ROUNDDOWN('Gen Image'!Q32^(MOD(Q31,4)+1),0),AB$2)</f>
        <v>0</v>
      </c>
      <c r="AC13" s="3">
        <f>MOD(ROUNDDOWN('Gen Image'!R32*R31/9,0),AC$2)</f>
        <v>0</v>
      </c>
      <c r="AD13" s="3">
        <f>MOD(ROUNDDOWN('Gen Image'!S32*S30,0),AD$2)+AK30</f>
        <v>1</v>
      </c>
      <c r="AE13" s="3">
        <f>MOD(ROUNDDOWN('Gen Image'!T32+T30,0),AE$2)+AL30</f>
        <v>1</v>
      </c>
      <c r="AF13" s="3">
        <f>MOD(ROUNDDOWN('Gen Image'!U32*U31/3,0),AF$2)+AM30</f>
        <v>0</v>
      </c>
      <c r="AG13" s="3">
        <f>MOD(ROUNDDOWN('Gen Image'!V32*V31/9,0),AG$2)+AN30</f>
        <v>1</v>
      </c>
      <c r="AH13" s="3">
        <f>MOD(ROUNDDOWN('Gen Image'!W32+W31,0),AH$2)+AO30</f>
        <v>2</v>
      </c>
      <c r="AI13" s="3">
        <f>MOD(ROUNDDOWN('Gen Image'!X32*X30/9,0),AI$2)+AP30</f>
        <v>4</v>
      </c>
      <c r="AJ13" s="3">
        <f>MOD(ROUNDDOWN('Gen Image'!Y32*Y31/4,0),AJ$2)+AQ30</f>
        <v>1</v>
      </c>
      <c r="AL13" s="5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</row>
    <row r="14" spans="1:51" ht="18" x14ac:dyDescent="0.3">
      <c r="F14" s="5">
        <v>11</v>
      </c>
      <c r="G14" s="3">
        <f>VLOOKUP(H83,'Gen Image'!$M$39:$R$43,6,FALSE)+X15</f>
        <v>19</v>
      </c>
      <c r="H14" s="3">
        <f>VLOOKUP(I83,'Gen Image'!$M$39:$R$43,6,FALSE)+Y15</f>
        <v>20</v>
      </c>
      <c r="I14" s="3">
        <f>VLOOKUP(J83,'Gen Image'!$M$39:$R$43,6,FALSE)+Z15</f>
        <v>69</v>
      </c>
      <c r="J14" s="3">
        <f>VLOOKUP(K83,'Gen Image'!$M$39:$R$43,6,FALSE)+AA15</f>
        <v>70</v>
      </c>
      <c r="K14" s="3">
        <f>VLOOKUP(L83,'Gen Image'!$M$39:$R$43,6,FALSE)+AB15</f>
        <v>70</v>
      </c>
      <c r="L14" s="3">
        <f>VLOOKUP(M83,'Gen Image'!$M$39:$R$43,6,FALSE)+AC15</f>
        <v>70</v>
      </c>
      <c r="M14" s="3">
        <f>VLOOKUP(N83,'Gen Image'!$M$39:$R$43,6,FALSE)+AD15</f>
        <v>69</v>
      </c>
      <c r="N14" s="3">
        <f>VLOOKUP(O83,'Gen Image'!$M$39:$R$43,6,FALSE)+AE15</f>
        <v>71</v>
      </c>
      <c r="O14" s="3">
        <f>VLOOKUP(P83,'Gen Image'!$M$39:$R$43,6,FALSE)+AF15</f>
        <v>73</v>
      </c>
      <c r="P14" s="3">
        <f>VLOOKUP(Q83,'Gen Image'!$M$39:$R$43,6,FALSE)+AG15</f>
        <v>37</v>
      </c>
      <c r="Q14" s="3">
        <f>VLOOKUP(R83,'Gen Image'!$M$39:$R$43,6,FALSE)+AH15</f>
        <v>36</v>
      </c>
      <c r="R14" s="3">
        <f>VLOOKUP(S83,'Gen Image'!$M$39:$R$43,6,FALSE)+AI15</f>
        <v>34</v>
      </c>
      <c r="S14" s="3">
        <f>VLOOKUP(T83,'Gen Image'!$M$39:$R$43,6,FALSE)+AJ15</f>
        <v>36</v>
      </c>
      <c r="W14" s="5">
        <v>10</v>
      </c>
      <c r="X14" s="3">
        <f>MOD(ROUNDDOWN('Gen Image'!M33*M31/3,0),X$2)+AE31</f>
        <v>4</v>
      </c>
      <c r="Y14" s="3">
        <f>MOD(ROUNDDOWN('Gen Image'!N33-N31/5,0),Y$2)+AF31</f>
        <v>3</v>
      </c>
      <c r="Z14" s="3">
        <f>MOD(ROUNDDOWN('Gen Image'!O33+O32/3,0),Z$2)+AG31</f>
        <v>4</v>
      </c>
      <c r="AA14" s="3">
        <f>MOD(ROUNDDOWN('Gen Image'!P33^(MOD(P32,4)+1),0),AA$2)+AH31</f>
        <v>2</v>
      </c>
      <c r="AB14" s="3">
        <f>MOD(ROUNDDOWN('Gen Image'!Q33^(MOD(Q32,4)+1),0),AB$2)</f>
        <v>1</v>
      </c>
      <c r="AC14" s="3">
        <f>MOD(ROUNDDOWN('Gen Image'!R33*R32/9,0),AC$2)</f>
        <v>1</v>
      </c>
      <c r="AD14" s="3">
        <f>MOD(ROUNDDOWN('Gen Image'!S33*S31,0),AD$2)+AK31</f>
        <v>3</v>
      </c>
      <c r="AE14" s="3">
        <f>MOD(ROUNDDOWN('Gen Image'!T33+T31,0),AE$2)+AL31</f>
        <v>0</v>
      </c>
      <c r="AF14" s="3">
        <f>MOD(ROUNDDOWN('Gen Image'!U33*U32/3,0),AF$2)+AM31</f>
        <v>1</v>
      </c>
      <c r="AG14" s="3">
        <f>MOD(ROUNDDOWN('Gen Image'!V33*V32/9,0),AG$2)+AN31</f>
        <v>1</v>
      </c>
      <c r="AH14" s="3">
        <f>MOD(ROUNDDOWN('Gen Image'!W33+W32,0),AH$2)+AO31</f>
        <v>4</v>
      </c>
      <c r="AI14" s="3">
        <f>MOD(ROUNDDOWN('Gen Image'!X33*X31/9,0),AI$2)+AP31</f>
        <v>4</v>
      </c>
      <c r="AJ14" s="3">
        <f>MOD(ROUNDDOWN('Gen Image'!Y33*Y32/4,0),AJ$2)+AQ31</f>
        <v>3</v>
      </c>
      <c r="AL14" s="5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</row>
    <row r="15" spans="1:51" ht="18" x14ac:dyDescent="0.3">
      <c r="F15" s="5">
        <v>12</v>
      </c>
      <c r="G15" s="3">
        <f>VLOOKUP(H84,'Gen Image'!$M$39:$R$43,6,FALSE)+X16</f>
        <v>21</v>
      </c>
      <c r="H15" s="3">
        <f>VLOOKUP(I84,'Gen Image'!$M$39:$R$43,6,FALSE)+Y16</f>
        <v>73</v>
      </c>
      <c r="I15" s="3">
        <f>VLOOKUP(J84,'Gen Image'!$M$39:$R$43,6,FALSE)+Z16</f>
        <v>72</v>
      </c>
      <c r="J15" s="3">
        <f>VLOOKUP(K84,'Gen Image'!$M$39:$R$43,6,FALSE)+AA16</f>
        <v>75</v>
      </c>
      <c r="K15" s="3">
        <f>VLOOKUP(L84,'Gen Image'!$M$39:$R$43,6,FALSE)+AB16</f>
        <v>73</v>
      </c>
      <c r="L15" s="3">
        <f>VLOOKUP(M84,'Gen Image'!$M$39:$R$43,6,FALSE)+AC16</f>
        <v>70</v>
      </c>
      <c r="M15" s="3">
        <f>VLOOKUP(N84,'Gen Image'!$M$39:$R$43,6,FALSE)+AD16</f>
        <v>73</v>
      </c>
      <c r="N15" s="3">
        <f>VLOOKUP(O84,'Gen Image'!$M$39:$R$43,6,FALSE)+AE16</f>
        <v>70</v>
      </c>
      <c r="O15" s="3">
        <f>VLOOKUP(P84,'Gen Image'!$M$39:$R$43,6,FALSE)+AF16</f>
        <v>70</v>
      </c>
      <c r="P15" s="3">
        <f>VLOOKUP(Q84,'Gen Image'!$M$39:$R$43,6,FALSE)+AG16</f>
        <v>33</v>
      </c>
      <c r="Q15" s="3">
        <f>VLOOKUP(R84,'Gen Image'!$M$39:$R$43,6,FALSE)+AH16</f>
        <v>37</v>
      </c>
      <c r="R15" s="3">
        <f>VLOOKUP(S84,'Gen Image'!$M$39:$R$43,6,FALSE)+AI16</f>
        <v>36</v>
      </c>
      <c r="S15" s="3">
        <f>VLOOKUP(T84,'Gen Image'!$M$39:$R$43,6,FALSE)+AJ16</f>
        <v>36</v>
      </c>
      <c r="W15" s="5">
        <v>11</v>
      </c>
      <c r="X15" s="3">
        <f>MOD(ROUNDDOWN('Gen Image'!M34*M32/3,0),X$2)+AE32</f>
        <v>0</v>
      </c>
      <c r="Y15" s="3">
        <f>MOD(ROUNDDOWN('Gen Image'!N34-N32/5,0),Y$2)+AF32</f>
        <v>1</v>
      </c>
      <c r="Z15" s="3">
        <f>MOD(ROUNDDOWN('Gen Image'!O34+O33/3,0),Z$2)+AG32</f>
        <v>0</v>
      </c>
      <c r="AA15" s="3">
        <f>MOD(ROUNDDOWN('Gen Image'!P34^(MOD(P33,4)+1),0),AA$2)+AH32</f>
        <v>1</v>
      </c>
      <c r="AB15" s="3">
        <f>MOD(ROUNDDOWN('Gen Image'!Q34^(MOD(Q33,4)+1),0),AB$2)</f>
        <v>1</v>
      </c>
      <c r="AC15" s="3">
        <f>MOD(ROUNDDOWN('Gen Image'!R34*R33/9,0),AC$2)</f>
        <v>1</v>
      </c>
      <c r="AD15" s="3">
        <f>MOD(ROUNDDOWN('Gen Image'!S34*S32,0),AD$2)+AK32</f>
        <v>0</v>
      </c>
      <c r="AE15" s="3">
        <f>MOD(ROUNDDOWN('Gen Image'!T34+T32,0),AE$2)+AL32</f>
        <v>2</v>
      </c>
      <c r="AF15" s="3">
        <f>MOD(ROUNDDOWN('Gen Image'!U34*U33/3,0),AF$2)+AM32</f>
        <v>4</v>
      </c>
      <c r="AG15" s="3">
        <f>MOD(ROUNDDOWN('Gen Image'!V34*V33/9,0),AG$2)+AN32</f>
        <v>4</v>
      </c>
      <c r="AH15" s="3">
        <f>MOD(ROUNDDOWN('Gen Image'!W34+W33,0),AH$2)+AO32</f>
        <v>3</v>
      </c>
      <c r="AI15" s="3">
        <f>MOD(ROUNDDOWN('Gen Image'!X34*X32/9,0),AI$2)+AP32</f>
        <v>1</v>
      </c>
      <c r="AJ15" s="3">
        <f>MOD(ROUNDDOWN('Gen Image'!Y34*Y33/4,0),AJ$2)+AQ32</f>
        <v>3</v>
      </c>
      <c r="AL15" s="5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</row>
    <row r="16" spans="1:51" ht="18" x14ac:dyDescent="0.3">
      <c r="F16" s="5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W16" s="5">
        <v>12</v>
      </c>
      <c r="X16" s="3">
        <f>MOD(ROUNDDOWN('Gen Image'!M35*M33/3,0),X$2)+AE33</f>
        <v>2</v>
      </c>
      <c r="Y16" s="3">
        <f>MOD(ROUNDDOWN('Gen Image'!N35-N33/5,0),Y$2)+AF33</f>
        <v>4</v>
      </c>
      <c r="Z16" s="3">
        <f>MOD(ROUNDDOWN('Gen Image'!O35+O34/3,0),Z$2)+AG33</f>
        <v>3</v>
      </c>
      <c r="AA16" s="3">
        <f>MOD(ROUNDDOWN('Gen Image'!P35^(MOD(P34,4)+1),0),AA$2)+AH33</f>
        <v>6</v>
      </c>
      <c r="AB16" s="3">
        <f>MOD(ROUNDDOWN('Gen Image'!Q35^(MOD(Q34,4)+1),0),AB$2)</f>
        <v>4</v>
      </c>
      <c r="AC16" s="3">
        <f>MOD(ROUNDDOWN('Gen Image'!R35*R34/9,0),AC$2)</f>
        <v>1</v>
      </c>
      <c r="AD16" s="3">
        <f>MOD(ROUNDDOWN('Gen Image'!S35*S33,0),AD$2)+AK33</f>
        <v>4</v>
      </c>
      <c r="AE16" s="3">
        <f>MOD(ROUNDDOWN('Gen Image'!T35+T33,0),AE$2)+AL33</f>
        <v>1</v>
      </c>
      <c r="AF16" s="3">
        <f>MOD(ROUNDDOWN('Gen Image'!U35*U34/3,0),AF$2)+AM33</f>
        <v>1</v>
      </c>
      <c r="AG16" s="3">
        <f>MOD(ROUNDDOWN('Gen Image'!V35*V34/9,0),AG$2)+AN33</f>
        <v>0</v>
      </c>
      <c r="AH16" s="3">
        <f>MOD(ROUNDDOWN('Gen Image'!W35+W34,0),AH$2)+AO33</f>
        <v>4</v>
      </c>
      <c r="AI16" s="3">
        <f>MOD(ROUNDDOWN('Gen Image'!X35*X33/9,0),AI$2)+AP33</f>
        <v>3</v>
      </c>
      <c r="AJ16" s="3">
        <f>MOD(ROUNDDOWN('Gen Image'!Y35*Y34/4,0),AJ$2)+AQ33</f>
        <v>3</v>
      </c>
      <c r="AL16" s="5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</row>
    <row r="17" spans="1:43" x14ac:dyDescent="0.3">
      <c r="K17" s="1" t="s">
        <v>33</v>
      </c>
      <c r="AN17" s="34"/>
    </row>
    <row r="19" spans="1:43" hidden="1" x14ac:dyDescent="0.3">
      <c r="B19" s="1" t="s">
        <v>1</v>
      </c>
      <c r="C19" s="22" t="str">
        <f>StringToMD5Hex(C4)</f>
        <v>6ad64e9abe444c41eb93dc2bb26055de</v>
      </c>
    </row>
    <row r="20" spans="1:43" hidden="1" x14ac:dyDescent="0.3">
      <c r="A20" s="1" t="s">
        <v>32</v>
      </c>
      <c r="C20" s="22" t="str">
        <f>StringToMD5Hex(C19)</f>
        <v>866250bdf5bc23e0c4a484aac9c29a70</v>
      </c>
      <c r="AE20" s="1">
        <v>0</v>
      </c>
      <c r="AF20" s="1">
        <v>1</v>
      </c>
      <c r="AG20" s="1">
        <v>2</v>
      </c>
      <c r="AH20" s="1">
        <v>3</v>
      </c>
      <c r="AI20" s="1">
        <v>4</v>
      </c>
      <c r="AJ20" s="1">
        <v>5</v>
      </c>
      <c r="AK20" s="1">
        <v>6</v>
      </c>
      <c r="AL20" s="1">
        <v>7</v>
      </c>
      <c r="AM20" s="1">
        <v>8</v>
      </c>
      <c r="AN20" s="1">
        <v>9</v>
      </c>
      <c r="AO20" s="1">
        <v>10</v>
      </c>
      <c r="AP20" s="1">
        <v>11</v>
      </c>
      <c r="AQ20" s="1">
        <v>12</v>
      </c>
    </row>
    <row r="21" spans="1:43" hidden="1" x14ac:dyDescent="0.3">
      <c r="A21" s="1">
        <v>1</v>
      </c>
      <c r="B21" s="1">
        <v>1</v>
      </c>
      <c r="C21" s="2" t="str">
        <f t="shared" ref="C21:C36" si="0">MID($C$19,B21,2)</f>
        <v>6a</v>
      </c>
      <c r="D21" s="2" t="str">
        <f t="shared" ref="D21:D36" si="1">MID($C$20,B21,2)</f>
        <v>86</v>
      </c>
      <c r="E21" s="2" t="str">
        <f t="shared" ref="E21:E32" si="2">HEX2BIN(C21,8)</f>
        <v>01101010</v>
      </c>
      <c r="F21" s="2" t="str">
        <f t="shared" ref="F21:F32" si="3">HEX2BIN(D21,8)</f>
        <v>10000110</v>
      </c>
      <c r="G21" s="2" t="str">
        <f t="shared" ref="G21:G32" si="4">HEX2OCT(C21&amp;C22,8)</f>
        <v>00065326</v>
      </c>
      <c r="H21" s="2" t="str">
        <f t="shared" ref="H21:H32" si="5">HEX2OCT(D21&amp;D22,8)</f>
        <v>00103142</v>
      </c>
      <c r="I21" s="2" t="str">
        <f t="shared" ref="I21:I32" si="6">HEX2OCT(C21&amp;D21,8)</f>
        <v>00065206</v>
      </c>
      <c r="J21" s="2">
        <f t="shared" ref="J21:J32" si="7">HEX2DEC(C21)</f>
        <v>106</v>
      </c>
      <c r="K21" s="2">
        <f t="shared" ref="K21:K32" si="8">HEX2DEC(D21)</f>
        <v>134</v>
      </c>
      <c r="L21" s="2"/>
      <c r="M21" s="2">
        <f t="shared" ref="M21:M32" si="9">BIN2DEC(MID(E21,1,4))*7</f>
        <v>42</v>
      </c>
      <c r="N21" s="2">
        <f t="shared" ref="N21:N32" si="10">BIN2DEC(MID(E21,3,4))*11</f>
        <v>110</v>
      </c>
      <c r="O21" s="2">
        <f t="shared" ref="O21:O32" si="11">VALUE(LEFT(G21,4))</f>
        <v>6</v>
      </c>
      <c r="P21" s="2">
        <f t="shared" ref="P21:P32" si="12">BIN2DEC(MID(F21,3,4))</f>
        <v>1</v>
      </c>
      <c r="Q21" s="2">
        <f t="shared" ref="Q21:Q32" si="13">BIN2DEC(MID(F21,4,4))</f>
        <v>3</v>
      </c>
      <c r="R21" s="2">
        <f t="shared" ref="R21:R32" si="14">VALUE(MID(G21,4,2))</f>
        <v>65</v>
      </c>
      <c r="S21" s="2">
        <f t="shared" ref="S21:S32" si="15">VALUE(MID(G21,5,2))</f>
        <v>53</v>
      </c>
      <c r="T21" s="2">
        <f t="shared" ref="T21:T32" si="16">VALUE(MID(H21,1,4))</f>
        <v>10</v>
      </c>
      <c r="U21" s="2">
        <f t="shared" ref="U21:U32" si="17">VALUE(MID(H21,3,3))</f>
        <v>103</v>
      </c>
      <c r="V21" s="2">
        <f t="shared" ref="V21:V32" si="18">VALUE(MID(H21,6,2))</f>
        <v>14</v>
      </c>
      <c r="W21" s="2">
        <f t="shared" ref="W21:W32" si="19">VALUE(MID(I21,1,4))</f>
        <v>6</v>
      </c>
      <c r="X21" s="2">
        <f t="shared" ref="X21:X32" si="20">_xlfn.CEILING.MATH(VALUE(MID(I21,5,3))/2,1)</f>
        <v>260</v>
      </c>
      <c r="Y21" s="2">
        <f t="shared" ref="Y21:Y32" si="21">VALUE(MID(I21,6,2))</f>
        <v>20</v>
      </c>
      <c r="Z21" s="2">
        <f t="shared" ref="Z21:Z32" si="22">VALUE(MID(J21,1,2))</f>
        <v>10</v>
      </c>
      <c r="AA21" s="2">
        <f t="shared" ref="AA21:AA32" si="23">VALUE(MID(K21*2,2,2))</f>
        <v>68</v>
      </c>
      <c r="AB21" s="2">
        <f t="shared" ref="AB21:AB32" si="24">VALUE(MID(J21+K21,2,2))</f>
        <v>40</v>
      </c>
      <c r="AC21" s="2"/>
      <c r="AD21" s="1">
        <v>0</v>
      </c>
      <c r="AE21" s="1">
        <v>1</v>
      </c>
      <c r="AF21" s="1">
        <v>1</v>
      </c>
      <c r="AG21" s="1">
        <v>1</v>
      </c>
      <c r="AH21" s="1">
        <v>1</v>
      </c>
      <c r="AI21" s="1">
        <v>0</v>
      </c>
      <c r="AJ21" s="1">
        <v>0</v>
      </c>
      <c r="AK21" s="1">
        <v>1</v>
      </c>
      <c r="AL21" s="1">
        <v>0</v>
      </c>
      <c r="AM21" s="1">
        <v>1</v>
      </c>
      <c r="AN21" s="1">
        <v>0</v>
      </c>
      <c r="AO21" s="1">
        <v>1</v>
      </c>
      <c r="AP21" s="1">
        <v>1</v>
      </c>
      <c r="AQ21" s="1">
        <v>0</v>
      </c>
    </row>
    <row r="22" spans="1:43" hidden="1" x14ac:dyDescent="0.3">
      <c r="A22" s="1">
        <v>2</v>
      </c>
      <c r="B22" s="1">
        <v>3</v>
      </c>
      <c r="C22" s="2" t="str">
        <f t="shared" si="0"/>
        <v>d6</v>
      </c>
      <c r="D22" s="2" t="str">
        <f t="shared" si="1"/>
        <v>62</v>
      </c>
      <c r="E22" s="2" t="str">
        <f t="shared" si="2"/>
        <v>11010110</v>
      </c>
      <c r="F22" s="2" t="str">
        <f t="shared" si="3"/>
        <v>01100010</v>
      </c>
      <c r="G22" s="2" t="str">
        <f t="shared" si="4"/>
        <v>00153116</v>
      </c>
      <c r="H22" s="2" t="str">
        <f t="shared" si="5"/>
        <v>00061120</v>
      </c>
      <c r="I22" s="2" t="str">
        <f t="shared" si="6"/>
        <v>00153142</v>
      </c>
      <c r="J22" s="2">
        <f t="shared" si="7"/>
        <v>214</v>
      </c>
      <c r="K22" s="2">
        <f t="shared" si="8"/>
        <v>98</v>
      </c>
      <c r="L22" s="2"/>
      <c r="M22" s="2">
        <f t="shared" si="9"/>
        <v>91</v>
      </c>
      <c r="N22" s="2">
        <f t="shared" si="10"/>
        <v>55</v>
      </c>
      <c r="O22" s="2">
        <f t="shared" si="11"/>
        <v>15</v>
      </c>
      <c r="P22" s="2">
        <f t="shared" si="12"/>
        <v>8</v>
      </c>
      <c r="Q22" s="2">
        <f t="shared" si="13"/>
        <v>1</v>
      </c>
      <c r="R22" s="2">
        <f t="shared" si="14"/>
        <v>53</v>
      </c>
      <c r="S22" s="2">
        <f t="shared" si="15"/>
        <v>31</v>
      </c>
      <c r="T22" s="2">
        <f t="shared" si="16"/>
        <v>6</v>
      </c>
      <c r="U22" s="2">
        <f t="shared" si="17"/>
        <v>61</v>
      </c>
      <c r="V22" s="2">
        <f t="shared" si="18"/>
        <v>12</v>
      </c>
      <c r="W22" s="2">
        <f t="shared" si="19"/>
        <v>15</v>
      </c>
      <c r="X22" s="2">
        <f t="shared" si="20"/>
        <v>157</v>
      </c>
      <c r="Y22" s="2">
        <f t="shared" si="21"/>
        <v>14</v>
      </c>
      <c r="Z22" s="2">
        <f t="shared" si="22"/>
        <v>21</v>
      </c>
      <c r="AA22" s="2">
        <f t="shared" si="23"/>
        <v>96</v>
      </c>
      <c r="AB22" s="2">
        <f t="shared" si="24"/>
        <v>12</v>
      </c>
      <c r="AD22" s="1">
        <v>1</v>
      </c>
      <c r="AE22" s="1">
        <v>1</v>
      </c>
      <c r="AF22" s="1">
        <v>1</v>
      </c>
      <c r="AG22" s="1">
        <v>0</v>
      </c>
      <c r="AH22" s="1">
        <v>1</v>
      </c>
      <c r="AI22" s="1">
        <v>1</v>
      </c>
      <c r="AJ22" s="1">
        <v>0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P22" s="1">
        <v>1</v>
      </c>
      <c r="AQ22" s="1">
        <v>1</v>
      </c>
    </row>
    <row r="23" spans="1:43" hidden="1" x14ac:dyDescent="0.3">
      <c r="A23" s="1">
        <v>3</v>
      </c>
      <c r="B23" s="1">
        <v>5</v>
      </c>
      <c r="C23" s="2" t="str">
        <f t="shared" si="0"/>
        <v>4e</v>
      </c>
      <c r="D23" s="2" t="str">
        <f t="shared" si="1"/>
        <v>50</v>
      </c>
      <c r="E23" s="2" t="str">
        <f t="shared" si="2"/>
        <v>01001110</v>
      </c>
      <c r="F23" s="2" t="str">
        <f t="shared" si="3"/>
        <v>01010000</v>
      </c>
      <c r="G23" s="2" t="str">
        <f t="shared" si="4"/>
        <v>00047232</v>
      </c>
      <c r="H23" s="2" t="str">
        <f t="shared" si="5"/>
        <v>00050275</v>
      </c>
      <c r="I23" s="2" t="str">
        <f t="shared" si="6"/>
        <v>00047120</v>
      </c>
      <c r="J23" s="2">
        <f t="shared" si="7"/>
        <v>78</v>
      </c>
      <c r="K23" s="2">
        <f t="shared" si="8"/>
        <v>80</v>
      </c>
      <c r="L23" s="2"/>
      <c r="M23" s="2">
        <f t="shared" si="9"/>
        <v>28</v>
      </c>
      <c r="N23" s="2">
        <f t="shared" si="10"/>
        <v>33</v>
      </c>
      <c r="O23" s="2">
        <f t="shared" si="11"/>
        <v>4</v>
      </c>
      <c r="P23" s="2">
        <f t="shared" si="12"/>
        <v>4</v>
      </c>
      <c r="Q23" s="2">
        <f t="shared" si="13"/>
        <v>8</v>
      </c>
      <c r="R23" s="2">
        <f t="shared" si="14"/>
        <v>47</v>
      </c>
      <c r="S23" s="2">
        <f t="shared" si="15"/>
        <v>72</v>
      </c>
      <c r="T23" s="2">
        <f t="shared" si="16"/>
        <v>5</v>
      </c>
      <c r="U23" s="2">
        <f t="shared" si="17"/>
        <v>50</v>
      </c>
      <c r="V23" s="2">
        <f t="shared" si="18"/>
        <v>27</v>
      </c>
      <c r="W23" s="2">
        <f t="shared" si="19"/>
        <v>4</v>
      </c>
      <c r="X23" s="2">
        <f t="shared" si="20"/>
        <v>356</v>
      </c>
      <c r="Y23" s="2">
        <f t="shared" si="21"/>
        <v>12</v>
      </c>
      <c r="Z23" s="2">
        <f t="shared" si="22"/>
        <v>78</v>
      </c>
      <c r="AA23" s="2">
        <f t="shared" si="23"/>
        <v>60</v>
      </c>
      <c r="AB23" s="2">
        <f t="shared" si="24"/>
        <v>58</v>
      </c>
      <c r="AD23" s="1">
        <v>2</v>
      </c>
      <c r="AE23" s="1">
        <v>1</v>
      </c>
      <c r="AF23" s="1">
        <v>1</v>
      </c>
      <c r="AG23" s="1">
        <v>0</v>
      </c>
      <c r="AH23" s="1">
        <v>1</v>
      </c>
      <c r="AI23" s="1">
        <v>0</v>
      </c>
      <c r="AJ23" s="1">
        <v>1</v>
      </c>
      <c r="AK23" s="1">
        <v>0</v>
      </c>
      <c r="AL23" s="1">
        <v>0</v>
      </c>
      <c r="AM23" s="1">
        <v>0</v>
      </c>
      <c r="AN23" s="1">
        <v>1</v>
      </c>
      <c r="AO23" s="1">
        <v>1</v>
      </c>
      <c r="AP23" s="1">
        <v>1</v>
      </c>
      <c r="AQ23" s="1">
        <v>1</v>
      </c>
    </row>
    <row r="24" spans="1:43" hidden="1" x14ac:dyDescent="0.3">
      <c r="A24" s="1">
        <v>4</v>
      </c>
      <c r="B24" s="1">
        <v>7</v>
      </c>
      <c r="C24" s="2" t="str">
        <f t="shared" si="0"/>
        <v>9a</v>
      </c>
      <c r="D24" s="2" t="str">
        <f t="shared" si="1"/>
        <v>bd</v>
      </c>
      <c r="E24" s="2" t="str">
        <f t="shared" si="2"/>
        <v>10011010</v>
      </c>
      <c r="F24" s="2" t="str">
        <f t="shared" si="3"/>
        <v>10111101</v>
      </c>
      <c r="G24" s="2" t="str">
        <f t="shared" si="4"/>
        <v>00115276</v>
      </c>
      <c r="H24" s="2" t="str">
        <f t="shared" si="5"/>
        <v>00136765</v>
      </c>
      <c r="I24" s="2" t="str">
        <f t="shared" si="6"/>
        <v>00115275</v>
      </c>
      <c r="J24" s="2">
        <f t="shared" si="7"/>
        <v>154</v>
      </c>
      <c r="K24" s="2">
        <f t="shared" si="8"/>
        <v>189</v>
      </c>
      <c r="L24" s="2"/>
      <c r="M24" s="2">
        <f t="shared" si="9"/>
        <v>63</v>
      </c>
      <c r="N24" s="2">
        <f t="shared" si="10"/>
        <v>66</v>
      </c>
      <c r="O24" s="2">
        <f t="shared" si="11"/>
        <v>11</v>
      </c>
      <c r="P24" s="2">
        <f t="shared" si="12"/>
        <v>15</v>
      </c>
      <c r="Q24" s="2">
        <f t="shared" si="13"/>
        <v>14</v>
      </c>
      <c r="R24" s="2">
        <f t="shared" si="14"/>
        <v>15</v>
      </c>
      <c r="S24" s="2">
        <f t="shared" si="15"/>
        <v>52</v>
      </c>
      <c r="T24" s="2">
        <f t="shared" si="16"/>
        <v>13</v>
      </c>
      <c r="U24" s="2">
        <f t="shared" si="17"/>
        <v>136</v>
      </c>
      <c r="V24" s="2">
        <f t="shared" si="18"/>
        <v>76</v>
      </c>
      <c r="W24" s="2">
        <f t="shared" si="19"/>
        <v>11</v>
      </c>
      <c r="X24" s="2">
        <f t="shared" si="20"/>
        <v>264</v>
      </c>
      <c r="Y24" s="2">
        <f t="shared" si="21"/>
        <v>27</v>
      </c>
      <c r="Z24" s="2">
        <f t="shared" si="22"/>
        <v>15</v>
      </c>
      <c r="AA24" s="2">
        <f t="shared" si="23"/>
        <v>78</v>
      </c>
      <c r="AB24" s="2">
        <f t="shared" si="24"/>
        <v>43</v>
      </c>
      <c r="AD24" s="1">
        <v>3</v>
      </c>
      <c r="AE24" s="1">
        <v>0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0</v>
      </c>
      <c r="AN24" s="1">
        <v>1</v>
      </c>
      <c r="AO24" s="1">
        <v>1</v>
      </c>
      <c r="AP24" s="1">
        <v>1</v>
      </c>
      <c r="AQ24" s="1">
        <v>0</v>
      </c>
    </row>
    <row r="25" spans="1:43" hidden="1" x14ac:dyDescent="0.3">
      <c r="A25" s="1">
        <v>5</v>
      </c>
      <c r="B25" s="1">
        <v>9</v>
      </c>
      <c r="C25" s="2" t="str">
        <f t="shared" si="0"/>
        <v>be</v>
      </c>
      <c r="D25" s="2" t="str">
        <f t="shared" si="1"/>
        <v>f5</v>
      </c>
      <c r="E25" s="2" t="str">
        <f t="shared" si="2"/>
        <v>10111110</v>
      </c>
      <c r="F25" s="2" t="str">
        <f t="shared" si="3"/>
        <v>11110101</v>
      </c>
      <c r="G25" s="2" t="str">
        <f t="shared" si="4"/>
        <v>00137104</v>
      </c>
      <c r="H25" s="2" t="str">
        <f t="shared" si="5"/>
        <v>00172674</v>
      </c>
      <c r="I25" s="2" t="str">
        <f t="shared" si="6"/>
        <v>00137365</v>
      </c>
      <c r="J25" s="2">
        <f t="shared" si="7"/>
        <v>190</v>
      </c>
      <c r="K25" s="2">
        <f t="shared" si="8"/>
        <v>245</v>
      </c>
      <c r="L25" s="2"/>
      <c r="M25" s="2">
        <f t="shared" si="9"/>
        <v>77</v>
      </c>
      <c r="N25" s="2">
        <f t="shared" si="10"/>
        <v>165</v>
      </c>
      <c r="O25" s="2">
        <f t="shared" si="11"/>
        <v>13</v>
      </c>
      <c r="P25" s="2">
        <f t="shared" si="12"/>
        <v>13</v>
      </c>
      <c r="Q25" s="2">
        <f t="shared" si="13"/>
        <v>10</v>
      </c>
      <c r="R25" s="2">
        <f t="shared" si="14"/>
        <v>37</v>
      </c>
      <c r="S25" s="2">
        <f t="shared" si="15"/>
        <v>71</v>
      </c>
      <c r="T25" s="2">
        <f t="shared" si="16"/>
        <v>17</v>
      </c>
      <c r="U25" s="2">
        <f t="shared" si="17"/>
        <v>172</v>
      </c>
      <c r="V25" s="2">
        <f t="shared" si="18"/>
        <v>67</v>
      </c>
      <c r="W25" s="2">
        <f t="shared" si="19"/>
        <v>13</v>
      </c>
      <c r="X25" s="2">
        <f t="shared" si="20"/>
        <v>368</v>
      </c>
      <c r="Y25" s="2">
        <f t="shared" si="21"/>
        <v>36</v>
      </c>
      <c r="Z25" s="2">
        <f t="shared" si="22"/>
        <v>19</v>
      </c>
      <c r="AA25" s="2">
        <f t="shared" si="23"/>
        <v>90</v>
      </c>
      <c r="AB25" s="2">
        <f t="shared" si="24"/>
        <v>35</v>
      </c>
      <c r="AD25" s="1">
        <v>4</v>
      </c>
      <c r="AE25" s="1">
        <v>1</v>
      </c>
      <c r="AF25" s="1">
        <v>0</v>
      </c>
      <c r="AG25" s="1">
        <v>0</v>
      </c>
      <c r="AH25" s="1">
        <v>1</v>
      </c>
      <c r="AI25" s="1">
        <v>0</v>
      </c>
      <c r="AJ25" s="1">
        <v>1</v>
      </c>
      <c r="AK25" s="1">
        <v>0</v>
      </c>
      <c r="AL25" s="1">
        <v>1</v>
      </c>
      <c r="AM25" s="1">
        <v>1</v>
      </c>
      <c r="AN25" s="1">
        <v>1</v>
      </c>
      <c r="AO25" s="1">
        <v>0</v>
      </c>
      <c r="AP25" s="1">
        <v>0</v>
      </c>
      <c r="AQ25" s="1">
        <v>1</v>
      </c>
    </row>
    <row r="26" spans="1:43" hidden="1" x14ac:dyDescent="0.3">
      <c r="A26" s="1">
        <v>6</v>
      </c>
      <c r="B26" s="1">
        <v>11</v>
      </c>
      <c r="C26" s="2" t="str">
        <f t="shared" si="0"/>
        <v>44</v>
      </c>
      <c r="D26" s="2" t="str">
        <f t="shared" si="1"/>
        <v>bc</v>
      </c>
      <c r="E26" s="2" t="str">
        <f t="shared" si="2"/>
        <v>01000100</v>
      </c>
      <c r="F26" s="2" t="str">
        <f t="shared" si="3"/>
        <v>10111100</v>
      </c>
      <c r="G26" s="2" t="str">
        <f t="shared" si="4"/>
        <v>00042114</v>
      </c>
      <c r="H26" s="2" t="str">
        <f t="shared" si="5"/>
        <v>00136043</v>
      </c>
      <c r="I26" s="2" t="str">
        <f t="shared" si="6"/>
        <v>00042274</v>
      </c>
      <c r="J26" s="2">
        <f t="shared" si="7"/>
        <v>68</v>
      </c>
      <c r="K26" s="2">
        <f t="shared" si="8"/>
        <v>188</v>
      </c>
      <c r="L26" s="2"/>
      <c r="M26" s="2">
        <f t="shared" si="9"/>
        <v>28</v>
      </c>
      <c r="N26" s="2">
        <f t="shared" si="10"/>
        <v>11</v>
      </c>
      <c r="O26" s="2">
        <f t="shared" si="11"/>
        <v>4</v>
      </c>
      <c r="P26" s="2">
        <f t="shared" si="12"/>
        <v>15</v>
      </c>
      <c r="Q26" s="2">
        <f t="shared" si="13"/>
        <v>14</v>
      </c>
      <c r="R26" s="2">
        <f t="shared" si="14"/>
        <v>42</v>
      </c>
      <c r="S26" s="2">
        <f t="shared" si="15"/>
        <v>21</v>
      </c>
      <c r="T26" s="2">
        <f t="shared" si="16"/>
        <v>13</v>
      </c>
      <c r="U26" s="2">
        <f t="shared" si="17"/>
        <v>136</v>
      </c>
      <c r="V26" s="2">
        <f t="shared" si="18"/>
        <v>4</v>
      </c>
      <c r="W26" s="2">
        <f t="shared" si="19"/>
        <v>4</v>
      </c>
      <c r="X26" s="2">
        <f t="shared" si="20"/>
        <v>114</v>
      </c>
      <c r="Y26" s="2">
        <f t="shared" si="21"/>
        <v>27</v>
      </c>
      <c r="Z26" s="2">
        <f t="shared" si="22"/>
        <v>68</v>
      </c>
      <c r="AA26" s="2">
        <f t="shared" si="23"/>
        <v>76</v>
      </c>
      <c r="AB26" s="2">
        <f t="shared" si="24"/>
        <v>56</v>
      </c>
      <c r="AD26" s="1">
        <v>5</v>
      </c>
      <c r="AE26" s="1">
        <v>0</v>
      </c>
      <c r="AF26" s="1">
        <v>0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0</v>
      </c>
      <c r="AM26" s="1">
        <v>0</v>
      </c>
      <c r="AN26" s="1">
        <v>1</v>
      </c>
      <c r="AO26" s="1">
        <v>1</v>
      </c>
      <c r="AP26" s="1">
        <v>1</v>
      </c>
      <c r="AQ26" s="1">
        <v>0</v>
      </c>
    </row>
    <row r="27" spans="1:43" hidden="1" x14ac:dyDescent="0.3">
      <c r="A27" s="1">
        <v>7</v>
      </c>
      <c r="B27" s="1">
        <v>13</v>
      </c>
      <c r="C27" s="2" t="str">
        <f t="shared" si="0"/>
        <v>4c</v>
      </c>
      <c r="D27" s="2" t="str">
        <f t="shared" si="1"/>
        <v>23</v>
      </c>
      <c r="E27" s="2" t="str">
        <f t="shared" si="2"/>
        <v>01001100</v>
      </c>
      <c r="F27" s="2" t="str">
        <f t="shared" si="3"/>
        <v>00100011</v>
      </c>
      <c r="G27" s="2" t="str">
        <f t="shared" si="4"/>
        <v>00046101</v>
      </c>
      <c r="H27" s="2" t="str">
        <f t="shared" si="5"/>
        <v>00021740</v>
      </c>
      <c r="I27" s="2" t="str">
        <f t="shared" si="6"/>
        <v>00046043</v>
      </c>
      <c r="J27" s="2">
        <f t="shared" si="7"/>
        <v>76</v>
      </c>
      <c r="K27" s="2">
        <f t="shared" si="8"/>
        <v>35</v>
      </c>
      <c r="L27" s="2"/>
      <c r="M27" s="2">
        <f t="shared" si="9"/>
        <v>28</v>
      </c>
      <c r="N27" s="2">
        <f t="shared" si="10"/>
        <v>33</v>
      </c>
      <c r="O27" s="2">
        <f t="shared" si="11"/>
        <v>4</v>
      </c>
      <c r="P27" s="2">
        <f t="shared" si="12"/>
        <v>8</v>
      </c>
      <c r="Q27" s="2">
        <f t="shared" si="13"/>
        <v>1</v>
      </c>
      <c r="R27" s="2">
        <f t="shared" si="14"/>
        <v>46</v>
      </c>
      <c r="S27" s="2">
        <f t="shared" si="15"/>
        <v>61</v>
      </c>
      <c r="T27" s="2">
        <f t="shared" si="16"/>
        <v>2</v>
      </c>
      <c r="U27" s="2">
        <f t="shared" si="17"/>
        <v>21</v>
      </c>
      <c r="V27" s="2">
        <f t="shared" si="18"/>
        <v>74</v>
      </c>
      <c r="W27" s="2">
        <f t="shared" si="19"/>
        <v>4</v>
      </c>
      <c r="X27" s="2">
        <f t="shared" si="20"/>
        <v>302</v>
      </c>
      <c r="Y27" s="2">
        <f t="shared" si="21"/>
        <v>4</v>
      </c>
      <c r="Z27" s="2">
        <f t="shared" si="22"/>
        <v>76</v>
      </c>
      <c r="AA27" s="2">
        <f t="shared" si="23"/>
        <v>0</v>
      </c>
      <c r="AB27" s="2">
        <f t="shared" si="24"/>
        <v>11</v>
      </c>
      <c r="AD27" s="1">
        <v>6</v>
      </c>
      <c r="AE27" s="1">
        <v>1</v>
      </c>
      <c r="AF27" s="1">
        <v>0</v>
      </c>
      <c r="AG27" s="1">
        <v>1</v>
      </c>
      <c r="AH27" s="1">
        <v>1</v>
      </c>
      <c r="AI27" s="1">
        <v>1</v>
      </c>
      <c r="AJ27" s="1">
        <v>1</v>
      </c>
      <c r="AK27" s="1">
        <v>0</v>
      </c>
      <c r="AL27" s="1">
        <v>1</v>
      </c>
      <c r="AM27" s="1">
        <v>1</v>
      </c>
      <c r="AN27" s="1">
        <v>0</v>
      </c>
      <c r="AO27" s="1">
        <v>1</v>
      </c>
      <c r="AP27" s="1">
        <v>0</v>
      </c>
      <c r="AQ27" s="1">
        <v>1</v>
      </c>
    </row>
    <row r="28" spans="1:43" hidden="1" x14ac:dyDescent="0.3">
      <c r="A28" s="1">
        <v>8</v>
      </c>
      <c r="B28" s="1">
        <v>15</v>
      </c>
      <c r="C28" s="2" t="str">
        <f t="shared" si="0"/>
        <v>41</v>
      </c>
      <c r="D28" s="2" t="str">
        <f t="shared" si="1"/>
        <v>e0</v>
      </c>
      <c r="E28" s="2" t="str">
        <f t="shared" si="2"/>
        <v>01000001</v>
      </c>
      <c r="F28" s="2" t="str">
        <f t="shared" si="3"/>
        <v>11100000</v>
      </c>
      <c r="G28" s="2" t="str">
        <f t="shared" si="4"/>
        <v>00040753</v>
      </c>
      <c r="H28" s="2" t="str">
        <f t="shared" si="5"/>
        <v>00160304</v>
      </c>
      <c r="I28" s="2" t="str">
        <f t="shared" si="6"/>
        <v>00040740</v>
      </c>
      <c r="J28" s="2">
        <f t="shared" si="7"/>
        <v>65</v>
      </c>
      <c r="K28" s="2">
        <f t="shared" si="8"/>
        <v>224</v>
      </c>
      <c r="L28" s="2"/>
      <c r="M28" s="2">
        <f t="shared" si="9"/>
        <v>28</v>
      </c>
      <c r="N28" s="2">
        <f t="shared" si="10"/>
        <v>0</v>
      </c>
      <c r="O28" s="2">
        <f t="shared" si="11"/>
        <v>4</v>
      </c>
      <c r="P28" s="2">
        <f t="shared" si="12"/>
        <v>8</v>
      </c>
      <c r="Q28" s="2">
        <f t="shared" si="13"/>
        <v>0</v>
      </c>
      <c r="R28" s="2">
        <f t="shared" si="14"/>
        <v>40</v>
      </c>
      <c r="S28" s="2">
        <f t="shared" si="15"/>
        <v>7</v>
      </c>
      <c r="T28" s="2">
        <f t="shared" si="16"/>
        <v>16</v>
      </c>
      <c r="U28" s="2">
        <f t="shared" si="17"/>
        <v>160</v>
      </c>
      <c r="V28" s="2">
        <f t="shared" si="18"/>
        <v>30</v>
      </c>
      <c r="W28" s="2">
        <f t="shared" si="19"/>
        <v>4</v>
      </c>
      <c r="X28" s="2">
        <f t="shared" si="20"/>
        <v>37</v>
      </c>
      <c r="Y28" s="2">
        <f t="shared" si="21"/>
        <v>74</v>
      </c>
      <c r="Z28" s="2">
        <f t="shared" si="22"/>
        <v>65</v>
      </c>
      <c r="AA28" s="2">
        <f t="shared" si="23"/>
        <v>48</v>
      </c>
      <c r="AB28" s="2">
        <f t="shared" si="24"/>
        <v>89</v>
      </c>
      <c r="AD28" s="1">
        <v>7</v>
      </c>
      <c r="AE28" s="1">
        <v>0</v>
      </c>
      <c r="AF28" s="1">
        <v>1</v>
      </c>
      <c r="AG28" s="1">
        <v>0</v>
      </c>
      <c r="AH28" s="1">
        <v>1</v>
      </c>
      <c r="AI28" s="1">
        <v>0</v>
      </c>
      <c r="AJ28" s="1">
        <v>1</v>
      </c>
      <c r="AK28" s="1">
        <v>1</v>
      </c>
      <c r="AL28" s="1">
        <v>1</v>
      </c>
      <c r="AM28" s="1">
        <v>0</v>
      </c>
      <c r="AN28" s="1">
        <v>0</v>
      </c>
      <c r="AO28" s="1">
        <v>1</v>
      </c>
      <c r="AP28" s="1">
        <v>1</v>
      </c>
      <c r="AQ28" s="1">
        <v>0</v>
      </c>
    </row>
    <row r="29" spans="1:43" hidden="1" x14ac:dyDescent="0.3">
      <c r="A29" s="1">
        <v>9</v>
      </c>
      <c r="B29" s="1">
        <v>17</v>
      </c>
      <c r="C29" s="2" t="str">
        <f t="shared" si="0"/>
        <v>eb</v>
      </c>
      <c r="D29" s="2" t="str">
        <f t="shared" si="1"/>
        <v>c4</v>
      </c>
      <c r="E29" s="2" t="str">
        <f t="shared" si="2"/>
        <v>11101011</v>
      </c>
      <c r="F29" s="2" t="str">
        <f t="shared" si="3"/>
        <v>11000100</v>
      </c>
      <c r="G29" s="2" t="str">
        <f t="shared" si="4"/>
        <v>00165623</v>
      </c>
      <c r="H29" s="2" t="str">
        <f t="shared" si="5"/>
        <v>00142244</v>
      </c>
      <c r="I29" s="2" t="str">
        <f t="shared" si="6"/>
        <v>00165704</v>
      </c>
      <c r="J29" s="2">
        <f t="shared" si="7"/>
        <v>235</v>
      </c>
      <c r="K29" s="2">
        <f t="shared" si="8"/>
        <v>196</v>
      </c>
      <c r="L29" s="2"/>
      <c r="M29" s="2">
        <f t="shared" si="9"/>
        <v>98</v>
      </c>
      <c r="N29" s="2">
        <f t="shared" si="10"/>
        <v>110</v>
      </c>
      <c r="O29" s="2">
        <f t="shared" si="11"/>
        <v>16</v>
      </c>
      <c r="P29" s="2">
        <f t="shared" si="12"/>
        <v>1</v>
      </c>
      <c r="Q29" s="2">
        <f t="shared" si="13"/>
        <v>2</v>
      </c>
      <c r="R29" s="2">
        <f t="shared" si="14"/>
        <v>65</v>
      </c>
      <c r="S29" s="2">
        <f t="shared" si="15"/>
        <v>56</v>
      </c>
      <c r="T29" s="2">
        <f t="shared" si="16"/>
        <v>14</v>
      </c>
      <c r="U29" s="2">
        <f t="shared" si="17"/>
        <v>142</v>
      </c>
      <c r="V29" s="2">
        <f t="shared" si="18"/>
        <v>24</v>
      </c>
      <c r="W29" s="2">
        <f t="shared" si="19"/>
        <v>16</v>
      </c>
      <c r="X29" s="2">
        <f t="shared" si="20"/>
        <v>285</v>
      </c>
      <c r="Y29" s="2">
        <f t="shared" si="21"/>
        <v>70</v>
      </c>
      <c r="Z29" s="2">
        <f t="shared" si="22"/>
        <v>23</v>
      </c>
      <c r="AA29" s="2">
        <f t="shared" si="23"/>
        <v>92</v>
      </c>
      <c r="AB29" s="2">
        <f t="shared" si="24"/>
        <v>31</v>
      </c>
      <c r="AD29" s="1">
        <v>8</v>
      </c>
      <c r="AE29" s="1">
        <v>1</v>
      </c>
      <c r="AF29" s="1">
        <v>1</v>
      </c>
      <c r="AG29" s="1">
        <v>1</v>
      </c>
      <c r="AH29" s="1">
        <v>1</v>
      </c>
      <c r="AI29" s="1">
        <v>0</v>
      </c>
      <c r="AJ29" s="1">
        <v>1</v>
      </c>
      <c r="AK29" s="1">
        <v>0</v>
      </c>
      <c r="AL29" s="1">
        <v>0</v>
      </c>
      <c r="AM29" s="1">
        <v>1</v>
      </c>
      <c r="AN29" s="1">
        <v>1</v>
      </c>
      <c r="AO29" s="1">
        <v>1</v>
      </c>
      <c r="AP29" s="1">
        <v>1</v>
      </c>
      <c r="AQ29" s="1">
        <v>0</v>
      </c>
    </row>
    <row r="30" spans="1:43" hidden="1" x14ac:dyDescent="0.3">
      <c r="A30" s="1">
        <v>10</v>
      </c>
      <c r="B30" s="1">
        <v>19</v>
      </c>
      <c r="C30" s="2" t="str">
        <f t="shared" si="0"/>
        <v>93</v>
      </c>
      <c r="D30" s="2" t="str">
        <f t="shared" si="1"/>
        <v>a4</v>
      </c>
      <c r="E30" s="2" t="str">
        <f t="shared" si="2"/>
        <v>10010011</v>
      </c>
      <c r="F30" s="2" t="str">
        <f t="shared" si="3"/>
        <v>10100100</v>
      </c>
      <c r="G30" s="2" t="str">
        <f t="shared" si="4"/>
        <v>00111734</v>
      </c>
      <c r="H30" s="2" t="str">
        <f t="shared" si="5"/>
        <v>00122204</v>
      </c>
      <c r="I30" s="2" t="str">
        <f t="shared" si="6"/>
        <v>00111644</v>
      </c>
      <c r="J30" s="2">
        <f t="shared" si="7"/>
        <v>147</v>
      </c>
      <c r="K30" s="2">
        <f t="shared" si="8"/>
        <v>164</v>
      </c>
      <c r="L30" s="2"/>
      <c r="M30" s="2">
        <f t="shared" si="9"/>
        <v>63</v>
      </c>
      <c r="N30" s="2">
        <f t="shared" si="10"/>
        <v>44</v>
      </c>
      <c r="O30" s="2">
        <f t="shared" si="11"/>
        <v>11</v>
      </c>
      <c r="P30" s="2">
        <f t="shared" si="12"/>
        <v>9</v>
      </c>
      <c r="Q30" s="2">
        <f t="shared" si="13"/>
        <v>2</v>
      </c>
      <c r="R30" s="2">
        <f t="shared" si="14"/>
        <v>11</v>
      </c>
      <c r="S30" s="2">
        <f t="shared" si="15"/>
        <v>17</v>
      </c>
      <c r="T30" s="2">
        <f t="shared" si="16"/>
        <v>12</v>
      </c>
      <c r="U30" s="2">
        <f t="shared" si="17"/>
        <v>122</v>
      </c>
      <c r="V30" s="2">
        <f t="shared" si="18"/>
        <v>20</v>
      </c>
      <c r="W30" s="2">
        <f t="shared" si="19"/>
        <v>11</v>
      </c>
      <c r="X30" s="2">
        <f t="shared" si="20"/>
        <v>82</v>
      </c>
      <c r="Y30" s="2">
        <f t="shared" si="21"/>
        <v>64</v>
      </c>
      <c r="Z30" s="2">
        <f t="shared" si="22"/>
        <v>14</v>
      </c>
      <c r="AA30" s="2">
        <f t="shared" si="23"/>
        <v>28</v>
      </c>
      <c r="AB30" s="2">
        <f t="shared" si="24"/>
        <v>11</v>
      </c>
      <c r="AD30" s="1">
        <v>9</v>
      </c>
      <c r="AE30" s="1">
        <v>0</v>
      </c>
      <c r="AF30" s="1">
        <v>1</v>
      </c>
      <c r="AG30" s="1">
        <v>0</v>
      </c>
      <c r="AH30" s="1">
        <v>0</v>
      </c>
      <c r="AI30" s="1">
        <v>1</v>
      </c>
      <c r="AJ30" s="1">
        <v>1</v>
      </c>
      <c r="AK30" s="1">
        <v>1</v>
      </c>
      <c r="AL30" s="1">
        <v>1</v>
      </c>
      <c r="AM30" s="1">
        <v>0</v>
      </c>
      <c r="AN30" s="1">
        <v>0</v>
      </c>
      <c r="AO30" s="1">
        <v>1</v>
      </c>
      <c r="AP30" s="1">
        <v>1</v>
      </c>
      <c r="AQ30" s="1">
        <v>1</v>
      </c>
    </row>
    <row r="31" spans="1:43" hidden="1" x14ac:dyDescent="0.3">
      <c r="A31" s="1">
        <v>11</v>
      </c>
      <c r="B31" s="1">
        <v>21</v>
      </c>
      <c r="C31" s="2" t="str">
        <f t="shared" si="0"/>
        <v>dc</v>
      </c>
      <c r="D31" s="2" t="str">
        <f t="shared" si="1"/>
        <v>84</v>
      </c>
      <c r="E31" s="2" t="str">
        <f t="shared" si="2"/>
        <v>11011100</v>
      </c>
      <c r="F31" s="2" t="str">
        <f t="shared" si="3"/>
        <v>10000100</v>
      </c>
      <c r="G31" s="2" t="str">
        <f t="shared" si="4"/>
        <v>00156053</v>
      </c>
      <c r="H31" s="2" t="str">
        <f t="shared" si="5"/>
        <v>00102252</v>
      </c>
      <c r="I31" s="2" t="str">
        <f t="shared" si="6"/>
        <v>00156204</v>
      </c>
      <c r="J31" s="2">
        <f t="shared" si="7"/>
        <v>220</v>
      </c>
      <c r="K31" s="2">
        <f t="shared" si="8"/>
        <v>132</v>
      </c>
      <c r="L31" s="2"/>
      <c r="M31" s="2">
        <f t="shared" si="9"/>
        <v>91</v>
      </c>
      <c r="N31" s="2">
        <f t="shared" si="10"/>
        <v>77</v>
      </c>
      <c r="O31" s="2">
        <f t="shared" si="11"/>
        <v>15</v>
      </c>
      <c r="P31" s="2">
        <f t="shared" si="12"/>
        <v>1</v>
      </c>
      <c r="Q31" s="2">
        <f t="shared" si="13"/>
        <v>2</v>
      </c>
      <c r="R31" s="2">
        <f t="shared" si="14"/>
        <v>56</v>
      </c>
      <c r="S31" s="2">
        <f t="shared" si="15"/>
        <v>60</v>
      </c>
      <c r="T31" s="2">
        <f t="shared" si="16"/>
        <v>10</v>
      </c>
      <c r="U31" s="2">
        <f t="shared" si="17"/>
        <v>102</v>
      </c>
      <c r="V31" s="2">
        <f t="shared" si="18"/>
        <v>25</v>
      </c>
      <c r="W31" s="2">
        <f t="shared" si="19"/>
        <v>15</v>
      </c>
      <c r="X31" s="2">
        <f t="shared" si="20"/>
        <v>310</v>
      </c>
      <c r="Y31" s="2">
        <f t="shared" si="21"/>
        <v>20</v>
      </c>
      <c r="Z31" s="2">
        <f t="shared" si="22"/>
        <v>22</v>
      </c>
      <c r="AA31" s="2">
        <f t="shared" si="23"/>
        <v>64</v>
      </c>
      <c r="AB31" s="2">
        <f t="shared" si="24"/>
        <v>52</v>
      </c>
      <c r="AD31" s="1">
        <v>10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0</v>
      </c>
      <c r="AM31" s="1">
        <v>1</v>
      </c>
      <c r="AN31" s="1">
        <v>0</v>
      </c>
      <c r="AO31" s="1">
        <v>1</v>
      </c>
      <c r="AP31" s="1">
        <v>1</v>
      </c>
      <c r="AQ31" s="1">
        <v>0</v>
      </c>
    </row>
    <row r="32" spans="1:43" hidden="1" x14ac:dyDescent="0.3">
      <c r="A32" s="1">
        <v>12</v>
      </c>
      <c r="B32" s="1">
        <v>23</v>
      </c>
      <c r="C32" s="2" t="str">
        <f t="shared" si="0"/>
        <v>2b</v>
      </c>
      <c r="D32" s="2" t="str">
        <f t="shared" si="1"/>
        <v>aa</v>
      </c>
      <c r="E32" s="2" t="str">
        <f t="shared" si="2"/>
        <v>00101011</v>
      </c>
      <c r="F32" s="2" t="str">
        <f t="shared" si="3"/>
        <v>10101010</v>
      </c>
      <c r="G32" s="2" t="str">
        <f t="shared" si="4"/>
        <v>00025662</v>
      </c>
      <c r="H32" s="2" t="str">
        <f t="shared" si="5"/>
        <v>00125311</v>
      </c>
      <c r="I32" s="2" t="str">
        <f t="shared" si="6"/>
        <v>00025652</v>
      </c>
      <c r="J32" s="2">
        <f t="shared" si="7"/>
        <v>43</v>
      </c>
      <c r="K32" s="2">
        <f t="shared" si="8"/>
        <v>170</v>
      </c>
      <c r="L32" s="2"/>
      <c r="M32" s="2">
        <f t="shared" si="9"/>
        <v>14</v>
      </c>
      <c r="N32" s="2">
        <f t="shared" si="10"/>
        <v>110</v>
      </c>
      <c r="O32" s="2">
        <f t="shared" si="11"/>
        <v>2</v>
      </c>
      <c r="P32" s="2">
        <f t="shared" si="12"/>
        <v>10</v>
      </c>
      <c r="Q32" s="2">
        <f t="shared" si="13"/>
        <v>5</v>
      </c>
      <c r="R32" s="2">
        <f t="shared" si="14"/>
        <v>25</v>
      </c>
      <c r="S32" s="2">
        <f t="shared" si="15"/>
        <v>56</v>
      </c>
      <c r="T32" s="2">
        <f t="shared" si="16"/>
        <v>12</v>
      </c>
      <c r="U32" s="2">
        <f t="shared" si="17"/>
        <v>125</v>
      </c>
      <c r="V32" s="2">
        <f t="shared" si="18"/>
        <v>31</v>
      </c>
      <c r="W32" s="2">
        <f t="shared" si="19"/>
        <v>2</v>
      </c>
      <c r="X32" s="2">
        <f t="shared" si="20"/>
        <v>283</v>
      </c>
      <c r="Y32" s="2">
        <f t="shared" si="21"/>
        <v>65</v>
      </c>
      <c r="Z32" s="2">
        <f t="shared" si="22"/>
        <v>43</v>
      </c>
      <c r="AA32" s="2">
        <f t="shared" si="23"/>
        <v>40</v>
      </c>
      <c r="AB32" s="2">
        <f t="shared" si="24"/>
        <v>13</v>
      </c>
      <c r="AD32" s="1">
        <v>11</v>
      </c>
      <c r="AE32" s="1">
        <v>0</v>
      </c>
      <c r="AF32" s="1">
        <v>1</v>
      </c>
      <c r="AG32" s="1">
        <v>0</v>
      </c>
      <c r="AH32" s="1">
        <v>1</v>
      </c>
      <c r="AI32" s="1">
        <v>1</v>
      </c>
      <c r="AJ32" s="1">
        <v>1</v>
      </c>
      <c r="AK32" s="1">
        <v>0</v>
      </c>
      <c r="AL32" s="1">
        <v>0</v>
      </c>
      <c r="AM32" s="1">
        <v>1</v>
      </c>
      <c r="AN32" s="1">
        <v>1</v>
      </c>
      <c r="AO32" s="1">
        <v>0</v>
      </c>
      <c r="AP32" s="1">
        <v>0</v>
      </c>
      <c r="AQ32" s="1">
        <v>1</v>
      </c>
    </row>
    <row r="33" spans="1:43" hidden="1" x14ac:dyDescent="0.3">
      <c r="A33" s="1">
        <v>13</v>
      </c>
      <c r="B33" s="1">
        <v>25</v>
      </c>
      <c r="C33" s="2" t="str">
        <f t="shared" si="0"/>
        <v>b2</v>
      </c>
      <c r="D33" s="2" t="str">
        <f t="shared" si="1"/>
        <v>c9</v>
      </c>
      <c r="E33" s="2" t="str">
        <f t="shared" ref="E33:E36" si="25">HEX2BIN(C33,8)</f>
        <v>10110010</v>
      </c>
      <c r="F33" s="2" t="str">
        <f t="shared" ref="F33:F36" si="26">HEX2BIN(D33,8)</f>
        <v>11001001</v>
      </c>
      <c r="G33" s="2" t="str">
        <f t="shared" ref="G33:G36" si="27">HEX2OCT(C33&amp;C34,8)</f>
        <v>00131140</v>
      </c>
      <c r="H33" s="2" t="str">
        <f t="shared" ref="H33:H36" si="28">HEX2OCT(D33&amp;D34,8)</f>
        <v>00144702</v>
      </c>
      <c r="I33" s="2" t="str">
        <f t="shared" ref="I33:I36" si="29">HEX2OCT(C33&amp;D33,8)</f>
        <v>00131311</v>
      </c>
      <c r="J33" s="2">
        <f t="shared" ref="J33:J36" si="30">HEX2DEC(C33)</f>
        <v>178</v>
      </c>
      <c r="K33" s="2">
        <f t="shared" ref="K33:K36" si="31">HEX2DEC(D33)</f>
        <v>201</v>
      </c>
      <c r="L33" s="2"/>
      <c r="M33" s="2">
        <f t="shared" ref="M33:M36" si="32">BIN2DEC(MID(E33,1,4))*7</f>
        <v>77</v>
      </c>
      <c r="N33" s="2">
        <f t="shared" ref="N33:N36" si="33">BIN2DEC(MID(E33,3,4))*11</f>
        <v>132</v>
      </c>
      <c r="O33" s="2">
        <f t="shared" ref="O33:O36" si="34">VALUE(LEFT(G33,4))</f>
        <v>13</v>
      </c>
      <c r="P33" s="2">
        <f t="shared" ref="P33:P36" si="35">BIN2DEC(MID(F33,3,4))</f>
        <v>2</v>
      </c>
      <c r="Q33" s="2">
        <f t="shared" ref="Q33:Q36" si="36">BIN2DEC(MID(F33,4,4))</f>
        <v>4</v>
      </c>
      <c r="R33" s="2">
        <f t="shared" ref="R33:R36" si="37">VALUE(MID(G33,4,2))</f>
        <v>31</v>
      </c>
      <c r="S33" s="2">
        <f t="shared" ref="S33:S36" si="38">VALUE(MID(G33,5,2))</f>
        <v>11</v>
      </c>
      <c r="T33" s="2">
        <f t="shared" ref="T33:T36" si="39">VALUE(MID(H33,1,4))</f>
        <v>14</v>
      </c>
      <c r="U33" s="2">
        <f t="shared" ref="U33:U36" si="40">VALUE(MID(H33,3,3))</f>
        <v>144</v>
      </c>
      <c r="V33" s="2">
        <f t="shared" ref="V33:V36" si="41">VALUE(MID(H33,6,2))</f>
        <v>70</v>
      </c>
      <c r="W33" s="2">
        <f t="shared" ref="W33:W36" si="42">VALUE(MID(I33,1,4))</f>
        <v>13</v>
      </c>
      <c r="X33" s="2">
        <f t="shared" ref="X33:X36" si="43">_xlfn.CEILING.MATH(VALUE(MID(I33,5,3))/2,1)</f>
        <v>66</v>
      </c>
      <c r="Y33" s="2">
        <f t="shared" ref="Y33:Y36" si="44">VALUE(MID(I33,6,2))</f>
        <v>31</v>
      </c>
      <c r="Z33" s="2">
        <f t="shared" ref="Z33:Z36" si="45">VALUE(MID(J33,1,2))</f>
        <v>17</v>
      </c>
      <c r="AA33" s="2">
        <f t="shared" ref="AA33:AA36" si="46">VALUE(MID(K33*2,2,2))</f>
        <v>2</v>
      </c>
      <c r="AB33" s="2">
        <f t="shared" ref="AB33:AB36" si="47">VALUE(MID(J33+K33,2,2))</f>
        <v>79</v>
      </c>
      <c r="AD33" s="1">
        <v>12</v>
      </c>
      <c r="AE33" s="1">
        <v>0</v>
      </c>
      <c r="AF33" s="1">
        <v>0</v>
      </c>
      <c r="AG33" s="1">
        <v>1</v>
      </c>
      <c r="AH33" s="1">
        <v>0</v>
      </c>
      <c r="AI33" s="1">
        <v>1</v>
      </c>
      <c r="AJ33" s="1">
        <v>1</v>
      </c>
      <c r="AK33" s="1">
        <v>1</v>
      </c>
      <c r="AL33" s="1">
        <v>0</v>
      </c>
      <c r="AM33" s="1">
        <v>1</v>
      </c>
      <c r="AN33" s="1">
        <v>0</v>
      </c>
      <c r="AO33" s="1">
        <v>1</v>
      </c>
      <c r="AP33" s="1">
        <v>0</v>
      </c>
      <c r="AQ33" s="1">
        <v>1</v>
      </c>
    </row>
    <row r="34" spans="1:43" hidden="1" x14ac:dyDescent="0.3">
      <c r="A34" s="1">
        <v>14</v>
      </c>
      <c r="B34" s="1">
        <v>27</v>
      </c>
      <c r="C34" s="2" t="str">
        <f t="shared" si="0"/>
        <v>60</v>
      </c>
      <c r="D34" s="2" t="str">
        <f t="shared" si="1"/>
        <v>c2</v>
      </c>
      <c r="E34" s="2" t="str">
        <f t="shared" si="25"/>
        <v>01100000</v>
      </c>
      <c r="F34" s="2" t="str">
        <f t="shared" si="26"/>
        <v>11000010</v>
      </c>
      <c r="G34" s="2" t="str">
        <f t="shared" si="27"/>
        <v>00060125</v>
      </c>
      <c r="H34" s="2" t="str">
        <f t="shared" si="28"/>
        <v>00141232</v>
      </c>
      <c r="I34" s="2" t="str">
        <f t="shared" si="29"/>
        <v>00060302</v>
      </c>
      <c r="J34" s="2">
        <f t="shared" si="30"/>
        <v>96</v>
      </c>
      <c r="K34" s="2">
        <f t="shared" si="31"/>
        <v>194</v>
      </c>
      <c r="L34" s="2"/>
      <c r="M34" s="2">
        <f t="shared" si="32"/>
        <v>42</v>
      </c>
      <c r="N34" s="2">
        <f t="shared" si="33"/>
        <v>88</v>
      </c>
      <c r="O34" s="2">
        <f t="shared" si="34"/>
        <v>6</v>
      </c>
      <c r="P34" s="2">
        <f t="shared" si="35"/>
        <v>0</v>
      </c>
      <c r="Q34" s="2">
        <f t="shared" si="36"/>
        <v>1</v>
      </c>
      <c r="R34" s="2">
        <f t="shared" si="37"/>
        <v>60</v>
      </c>
      <c r="S34" s="2">
        <f t="shared" si="38"/>
        <v>1</v>
      </c>
      <c r="T34" s="2">
        <f t="shared" si="39"/>
        <v>14</v>
      </c>
      <c r="U34" s="2">
        <f t="shared" si="40"/>
        <v>141</v>
      </c>
      <c r="V34" s="2">
        <f t="shared" si="41"/>
        <v>23</v>
      </c>
      <c r="W34" s="2">
        <f t="shared" si="42"/>
        <v>6</v>
      </c>
      <c r="X34" s="2">
        <f t="shared" si="43"/>
        <v>15</v>
      </c>
      <c r="Y34" s="2">
        <f t="shared" si="44"/>
        <v>30</v>
      </c>
      <c r="Z34" s="2">
        <f t="shared" si="45"/>
        <v>96</v>
      </c>
      <c r="AA34" s="2">
        <f t="shared" si="46"/>
        <v>88</v>
      </c>
      <c r="AB34" s="2">
        <f t="shared" si="47"/>
        <v>90</v>
      </c>
    </row>
    <row r="35" spans="1:43" hidden="1" x14ac:dyDescent="0.3">
      <c r="A35" s="1">
        <v>15</v>
      </c>
      <c r="B35" s="1">
        <v>29</v>
      </c>
      <c r="C35" s="2" t="str">
        <f t="shared" si="0"/>
        <v>55</v>
      </c>
      <c r="D35" s="2" t="str">
        <f t="shared" si="1"/>
        <v>9a</v>
      </c>
      <c r="E35" s="2" t="str">
        <f t="shared" si="25"/>
        <v>01010101</v>
      </c>
      <c r="F35" s="2" t="str">
        <f t="shared" si="26"/>
        <v>10011010</v>
      </c>
      <c r="G35" s="2" t="str">
        <f t="shared" si="27"/>
        <v>00052736</v>
      </c>
      <c r="H35" s="2" t="str">
        <f t="shared" si="28"/>
        <v>00115160</v>
      </c>
      <c r="I35" s="2" t="str">
        <f t="shared" si="29"/>
        <v>00052632</v>
      </c>
      <c r="J35" s="2">
        <f t="shared" si="30"/>
        <v>85</v>
      </c>
      <c r="K35" s="2">
        <f t="shared" si="31"/>
        <v>154</v>
      </c>
      <c r="L35" s="2"/>
      <c r="M35" s="2">
        <f t="shared" si="32"/>
        <v>35</v>
      </c>
      <c r="N35" s="2">
        <f t="shared" si="33"/>
        <v>55</v>
      </c>
      <c r="O35" s="2">
        <f t="shared" si="34"/>
        <v>5</v>
      </c>
      <c r="P35" s="2">
        <f t="shared" si="35"/>
        <v>6</v>
      </c>
      <c r="Q35" s="2">
        <f t="shared" si="36"/>
        <v>13</v>
      </c>
      <c r="R35" s="2">
        <f t="shared" si="37"/>
        <v>52</v>
      </c>
      <c r="S35" s="2">
        <f t="shared" si="38"/>
        <v>27</v>
      </c>
      <c r="T35" s="2">
        <f t="shared" si="39"/>
        <v>11</v>
      </c>
      <c r="U35" s="2">
        <f t="shared" si="40"/>
        <v>115</v>
      </c>
      <c r="V35" s="2">
        <f t="shared" si="41"/>
        <v>16</v>
      </c>
      <c r="W35" s="2">
        <f t="shared" si="42"/>
        <v>5</v>
      </c>
      <c r="X35" s="2">
        <f t="shared" si="43"/>
        <v>132</v>
      </c>
      <c r="Y35" s="2">
        <f t="shared" si="44"/>
        <v>63</v>
      </c>
      <c r="Z35" s="2">
        <f t="shared" si="45"/>
        <v>85</v>
      </c>
      <c r="AA35" s="2">
        <f t="shared" si="46"/>
        <v>8</v>
      </c>
      <c r="AB35" s="2">
        <f t="shared" si="47"/>
        <v>39</v>
      </c>
    </row>
    <row r="36" spans="1:43" hidden="1" x14ac:dyDescent="0.3">
      <c r="A36" s="1">
        <v>16</v>
      </c>
      <c r="B36" s="1">
        <v>31</v>
      </c>
      <c r="C36" s="2" t="str">
        <f t="shared" si="0"/>
        <v>de</v>
      </c>
      <c r="D36" s="2" t="str">
        <f t="shared" si="1"/>
        <v>70</v>
      </c>
      <c r="E36" s="2" t="str">
        <f t="shared" si="25"/>
        <v>11011110</v>
      </c>
      <c r="F36" s="2" t="str">
        <f t="shared" si="26"/>
        <v>01110000</v>
      </c>
      <c r="G36" s="2" t="str">
        <f t="shared" si="27"/>
        <v>00157152</v>
      </c>
      <c r="H36" s="2" t="str">
        <f t="shared" si="28"/>
        <v>00070206</v>
      </c>
      <c r="I36" s="2" t="str">
        <f t="shared" si="29"/>
        <v>00157160</v>
      </c>
      <c r="J36" s="2">
        <f t="shared" si="30"/>
        <v>222</v>
      </c>
      <c r="K36" s="2">
        <f t="shared" si="31"/>
        <v>112</v>
      </c>
      <c r="L36" s="2"/>
      <c r="M36" s="2">
        <f t="shared" si="32"/>
        <v>91</v>
      </c>
      <c r="N36" s="2">
        <f t="shared" si="33"/>
        <v>77</v>
      </c>
      <c r="O36" s="2">
        <f t="shared" si="34"/>
        <v>15</v>
      </c>
      <c r="P36" s="2">
        <f t="shared" si="35"/>
        <v>12</v>
      </c>
      <c r="Q36" s="2">
        <f t="shared" si="36"/>
        <v>8</v>
      </c>
      <c r="R36" s="2">
        <f t="shared" si="37"/>
        <v>57</v>
      </c>
      <c r="S36" s="2">
        <f t="shared" si="38"/>
        <v>71</v>
      </c>
      <c r="T36" s="2">
        <f t="shared" si="39"/>
        <v>7</v>
      </c>
      <c r="U36" s="2">
        <f t="shared" si="40"/>
        <v>70</v>
      </c>
      <c r="V36" s="2">
        <f t="shared" si="41"/>
        <v>20</v>
      </c>
      <c r="W36" s="2">
        <f t="shared" si="42"/>
        <v>15</v>
      </c>
      <c r="X36" s="2">
        <f t="shared" si="43"/>
        <v>358</v>
      </c>
      <c r="Y36" s="2">
        <f t="shared" si="44"/>
        <v>16</v>
      </c>
      <c r="Z36" s="2">
        <f t="shared" si="45"/>
        <v>22</v>
      </c>
      <c r="AA36" s="2">
        <f t="shared" si="46"/>
        <v>24</v>
      </c>
      <c r="AB36" s="2">
        <f t="shared" si="47"/>
        <v>34</v>
      </c>
    </row>
    <row r="37" spans="1:43" hidden="1" x14ac:dyDescent="0.3">
      <c r="C37" s="2" t="str">
        <f>C21</f>
        <v>6a</v>
      </c>
      <c r="D37" s="2" t="str">
        <f>D21</f>
        <v>86</v>
      </c>
      <c r="E37" s="2"/>
      <c r="F37" s="2"/>
      <c r="H37" s="2"/>
      <c r="I37" s="2"/>
      <c r="J37" s="2"/>
      <c r="K37" s="2"/>
      <c r="L37" s="2"/>
    </row>
    <row r="38" spans="1:43" hidden="1" x14ac:dyDescent="0.3">
      <c r="C38" s="2"/>
      <c r="D38" s="2"/>
      <c r="I38" s="1" t="s">
        <v>2</v>
      </c>
      <c r="K38" s="1" t="s">
        <v>3</v>
      </c>
    </row>
    <row r="39" spans="1:43" hidden="1" x14ac:dyDescent="0.3">
      <c r="C39" s="2"/>
      <c r="D39" s="2" t="str">
        <f>RIGHT(C21,1)&amp;LEFT(D36,1)</f>
        <v>a7</v>
      </c>
      <c r="E39" s="1">
        <f>HEX2DEC(D39)</f>
        <v>167</v>
      </c>
      <c r="F39" s="1">
        <f>_xlfn.FLOOR.MATH(E39/3,1)</f>
        <v>55</v>
      </c>
      <c r="G39" s="1">
        <f>(-1)^F39</f>
        <v>-1</v>
      </c>
      <c r="J39" s="1">
        <f>MOD(E39,3)+1</f>
        <v>3</v>
      </c>
      <c r="K39" s="1">
        <f>J39</f>
        <v>3</v>
      </c>
      <c r="M39" s="1">
        <v>1</v>
      </c>
      <c r="N39" s="1">
        <f>N23</f>
        <v>33</v>
      </c>
      <c r="O39" s="1">
        <f>S27</f>
        <v>61</v>
      </c>
      <c r="P39" s="1">
        <f>ROUND(AVERAGE(N39:O39),0)</f>
        <v>47</v>
      </c>
      <c r="Q39" s="1">
        <v>80</v>
      </c>
      <c r="R39" s="1">
        <f>ROUND(AVERAGE(P39:Q39),0)</f>
        <v>64</v>
      </c>
    </row>
    <row r="40" spans="1:43" hidden="1" x14ac:dyDescent="0.3">
      <c r="C40" s="2"/>
      <c r="D40" s="2" t="str">
        <f>RIGHT(D21,1)&amp;LEFT(C36,1)</f>
        <v>6d</v>
      </c>
      <c r="E40" s="1">
        <f t="shared" ref="E40:E42" si="48">HEX2DEC(D40)</f>
        <v>109</v>
      </c>
      <c r="F40" s="1">
        <f>_xlfn.FLOOR.MATH(E40/5,1)</f>
        <v>21</v>
      </c>
      <c r="G40" s="1">
        <f>(-1)^F40</f>
        <v>-1</v>
      </c>
      <c r="J40" s="1">
        <f>MOD(E40,3)+1</f>
        <v>2</v>
      </c>
      <c r="K40" s="1">
        <f>MIN(K39+J40*2,3+J40)</f>
        <v>5</v>
      </c>
      <c r="M40" s="1">
        <v>2</v>
      </c>
      <c r="N40" s="1">
        <f>Q22</f>
        <v>1</v>
      </c>
      <c r="O40" s="1">
        <f>O25</f>
        <v>13</v>
      </c>
      <c r="P40" s="1">
        <f t="shared" ref="P40:P43" si="49">ROUND(AVERAGE(N40:O40),0)</f>
        <v>7</v>
      </c>
      <c r="Q40" s="1">
        <v>30</v>
      </c>
      <c r="R40" s="1">
        <f t="shared" ref="R40:R43" si="50">ROUND(AVERAGE(P40:Q40),0)</f>
        <v>19</v>
      </c>
    </row>
    <row r="41" spans="1:43" hidden="1" x14ac:dyDescent="0.3">
      <c r="C41" s="2"/>
      <c r="D41" s="2" t="str">
        <f>RIGHT(D22,1)&amp;LEFT(C35,1)</f>
        <v>25</v>
      </c>
      <c r="E41" s="1">
        <f t="shared" si="48"/>
        <v>37</v>
      </c>
      <c r="F41" s="1">
        <f>_xlfn.FLOOR.MATH(E41/7,1)</f>
        <v>5</v>
      </c>
      <c r="G41" s="1">
        <f>MOD(F41,2)</f>
        <v>1</v>
      </c>
      <c r="H41" s="1">
        <f>IF(G43,G41,IF(H43,H43,G40))</f>
        <v>1</v>
      </c>
      <c r="I41" s="1">
        <f>G39*H41</f>
        <v>-1</v>
      </c>
      <c r="J41" s="1">
        <f>MOD(E41,3)+1</f>
        <v>2</v>
      </c>
      <c r="K41" s="1">
        <f>MAX(K40+J41,6+J41)</f>
        <v>8</v>
      </c>
      <c r="M41" s="1">
        <v>3</v>
      </c>
      <c r="N41" s="1">
        <f>U22</f>
        <v>61</v>
      </c>
      <c r="O41" s="1">
        <f>X29</f>
        <v>285</v>
      </c>
      <c r="P41" s="1">
        <f t="shared" si="49"/>
        <v>173</v>
      </c>
      <c r="Q41" s="1">
        <v>220</v>
      </c>
      <c r="R41" s="1">
        <f t="shared" si="50"/>
        <v>197</v>
      </c>
    </row>
    <row r="42" spans="1:43" hidden="1" x14ac:dyDescent="0.3">
      <c r="C42" s="2"/>
      <c r="D42" s="2" t="str">
        <f>RIGHT(C23,1)&amp;LEFT(D34,1)</f>
        <v>ec</v>
      </c>
      <c r="E42" s="1">
        <f t="shared" si="48"/>
        <v>236</v>
      </c>
      <c r="F42" s="1">
        <f>_xlfn.FLOOR.MATH(E42/9,1)</f>
        <v>26</v>
      </c>
      <c r="G42" s="1">
        <f>MOD(F42,2)</f>
        <v>0</v>
      </c>
      <c r="H42" s="1">
        <f>IF(G43,G42,IF(H43&lt;0,H43,G39))</f>
        <v>0</v>
      </c>
      <c r="I42" s="1">
        <f>G40*H42</f>
        <v>0</v>
      </c>
      <c r="J42" s="1">
        <f>MOD(E42,3)+1</f>
        <v>3</v>
      </c>
      <c r="K42" s="1">
        <f>MIN(MAX(K41+J42,9+J42),12)</f>
        <v>12</v>
      </c>
      <c r="M42" s="1">
        <v>4</v>
      </c>
      <c r="N42" s="1">
        <f>N34</f>
        <v>88</v>
      </c>
      <c r="O42" s="1">
        <f>Z29</f>
        <v>23</v>
      </c>
      <c r="P42" s="1">
        <f t="shared" si="49"/>
        <v>56</v>
      </c>
      <c r="Q42" s="1">
        <v>10</v>
      </c>
      <c r="R42" s="1">
        <f t="shared" si="50"/>
        <v>33</v>
      </c>
    </row>
    <row r="43" spans="1:43" hidden="1" x14ac:dyDescent="0.3">
      <c r="G43" s="1">
        <f>SUM(G41:G42)</f>
        <v>1</v>
      </c>
      <c r="H43" s="1">
        <f>SUM(G39:G40)</f>
        <v>-2</v>
      </c>
      <c r="M43" s="1">
        <v>5</v>
      </c>
      <c r="N43" s="1">
        <f>AA27</f>
        <v>0</v>
      </c>
      <c r="O43" s="1">
        <f>AB26</f>
        <v>56</v>
      </c>
      <c r="P43" s="1">
        <f t="shared" si="49"/>
        <v>28</v>
      </c>
      <c r="Q43" s="1">
        <v>110</v>
      </c>
      <c r="R43" s="1">
        <f t="shared" si="50"/>
        <v>69</v>
      </c>
    </row>
    <row r="44" spans="1:43" hidden="1" x14ac:dyDescent="0.3"/>
    <row r="45" spans="1:43" hidden="1" x14ac:dyDescent="0.3"/>
    <row r="46" spans="1:43" hidden="1" x14ac:dyDescent="0.3"/>
    <row r="47" spans="1:43" hidden="1" x14ac:dyDescent="0.3">
      <c r="D47" s="5"/>
      <c r="E47" s="5"/>
      <c r="F47" s="8">
        <v>-2</v>
      </c>
      <c r="G47" s="8">
        <v>-1</v>
      </c>
      <c r="H47" s="8">
        <v>0</v>
      </c>
      <c r="I47" s="8">
        <v>1</v>
      </c>
      <c r="J47" s="8">
        <v>2</v>
      </c>
      <c r="K47" s="8">
        <v>3</v>
      </c>
      <c r="L47" s="8">
        <v>4</v>
      </c>
      <c r="M47" s="8">
        <v>5</v>
      </c>
      <c r="N47" s="8">
        <v>6</v>
      </c>
      <c r="O47" s="8">
        <v>7</v>
      </c>
      <c r="P47" s="8">
        <v>8</v>
      </c>
      <c r="Q47" s="8">
        <v>9</v>
      </c>
      <c r="R47" s="8">
        <v>10</v>
      </c>
      <c r="S47" s="8">
        <v>11</v>
      </c>
      <c r="T47" s="8">
        <v>12</v>
      </c>
      <c r="U47" s="8">
        <v>13</v>
      </c>
      <c r="V47" s="8">
        <v>14</v>
      </c>
      <c r="W47" s="5"/>
    </row>
    <row r="48" spans="1:43" hidden="1" x14ac:dyDescent="0.3">
      <c r="D48" s="5"/>
      <c r="E48" s="8">
        <v>-2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9">
        <v>4</v>
      </c>
      <c r="P48" s="9">
        <v>4</v>
      </c>
      <c r="Q48" s="9">
        <v>4</v>
      </c>
      <c r="R48" s="9">
        <v>4</v>
      </c>
      <c r="S48" s="9">
        <v>4</v>
      </c>
      <c r="T48" s="9">
        <v>4</v>
      </c>
      <c r="U48" s="9">
        <v>4</v>
      </c>
      <c r="V48" s="9">
        <v>4</v>
      </c>
      <c r="W48" s="5"/>
    </row>
    <row r="49" spans="4:23" hidden="1" x14ac:dyDescent="0.3">
      <c r="D49" s="5"/>
      <c r="E49" s="8">
        <v>-1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9">
        <v>4</v>
      </c>
      <c r="P49" s="9">
        <v>4</v>
      </c>
      <c r="Q49" s="9">
        <v>4</v>
      </c>
      <c r="R49" s="9">
        <v>4</v>
      </c>
      <c r="S49" s="9">
        <v>4</v>
      </c>
      <c r="T49" s="9">
        <v>4</v>
      </c>
      <c r="U49" s="9">
        <v>4</v>
      </c>
      <c r="V49" s="9">
        <v>4</v>
      </c>
      <c r="W49" s="5"/>
    </row>
    <row r="50" spans="4:23" hidden="1" x14ac:dyDescent="0.3">
      <c r="D50" s="5"/>
      <c r="E50" s="8">
        <v>0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9">
        <v>4</v>
      </c>
      <c r="P50" s="9">
        <v>4</v>
      </c>
      <c r="Q50" s="9">
        <v>4</v>
      </c>
      <c r="R50" s="9">
        <v>4</v>
      </c>
      <c r="S50" s="9">
        <v>4</v>
      </c>
      <c r="T50" s="9">
        <v>4</v>
      </c>
      <c r="U50" s="9">
        <v>4</v>
      </c>
      <c r="V50" s="9">
        <v>4</v>
      </c>
      <c r="W50" s="5"/>
    </row>
    <row r="51" spans="4:23" hidden="1" x14ac:dyDescent="0.3">
      <c r="D51" s="5"/>
      <c r="E51" s="8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9">
        <v>4</v>
      </c>
      <c r="P51" s="9">
        <v>4</v>
      </c>
      <c r="Q51" s="9">
        <v>4</v>
      </c>
      <c r="R51" s="9">
        <v>4</v>
      </c>
      <c r="S51" s="9">
        <v>4</v>
      </c>
      <c r="T51" s="9">
        <v>4</v>
      </c>
      <c r="U51" s="9">
        <v>4</v>
      </c>
      <c r="V51" s="9">
        <v>4</v>
      </c>
      <c r="W51" s="5"/>
    </row>
    <row r="52" spans="4:23" hidden="1" x14ac:dyDescent="0.3">
      <c r="D52" s="5"/>
      <c r="E52" s="8">
        <v>2</v>
      </c>
      <c r="F52" s="6">
        <v>1</v>
      </c>
      <c r="G52" s="6">
        <v>1</v>
      </c>
      <c r="H52" s="6">
        <v>1</v>
      </c>
      <c r="I52" s="6">
        <v>1</v>
      </c>
      <c r="J52" s="6">
        <v>1</v>
      </c>
      <c r="K52" s="6">
        <v>1</v>
      </c>
      <c r="L52" s="6">
        <v>1</v>
      </c>
      <c r="M52" s="6">
        <v>1</v>
      </c>
      <c r="N52" s="7">
        <v>3</v>
      </c>
      <c r="O52" s="9">
        <v>4</v>
      </c>
      <c r="P52" s="9">
        <v>4</v>
      </c>
      <c r="Q52" s="9">
        <v>4</v>
      </c>
      <c r="R52" s="9">
        <v>4</v>
      </c>
      <c r="S52" s="9">
        <v>4</v>
      </c>
      <c r="T52" s="9">
        <v>4</v>
      </c>
      <c r="U52" s="9">
        <v>4</v>
      </c>
      <c r="V52" s="9">
        <v>4</v>
      </c>
      <c r="W52" s="5"/>
    </row>
    <row r="53" spans="4:23" hidden="1" x14ac:dyDescent="0.3">
      <c r="D53" s="5"/>
      <c r="E53" s="8">
        <v>3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7">
        <v>3</v>
      </c>
      <c r="N53" s="7">
        <v>3</v>
      </c>
      <c r="O53" s="7">
        <v>3</v>
      </c>
      <c r="P53" s="9">
        <v>4</v>
      </c>
      <c r="Q53" s="9">
        <v>4</v>
      </c>
      <c r="R53" s="9">
        <v>4</v>
      </c>
      <c r="S53" s="9">
        <v>4</v>
      </c>
      <c r="T53" s="9">
        <v>4</v>
      </c>
      <c r="U53" s="9">
        <v>4</v>
      </c>
      <c r="V53" s="9">
        <v>4</v>
      </c>
      <c r="W53" s="5"/>
    </row>
    <row r="54" spans="4:23" hidden="1" x14ac:dyDescent="0.3">
      <c r="D54" s="5"/>
      <c r="E54" s="8">
        <v>4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7">
        <v>3</v>
      </c>
      <c r="M54" s="7">
        <v>3</v>
      </c>
      <c r="N54" s="7">
        <v>3</v>
      </c>
      <c r="O54" s="7">
        <v>3</v>
      </c>
      <c r="P54" s="7">
        <v>3</v>
      </c>
      <c r="Q54" s="7">
        <v>3</v>
      </c>
      <c r="R54" s="9">
        <v>4</v>
      </c>
      <c r="S54" s="9">
        <v>4</v>
      </c>
      <c r="T54" s="9">
        <v>4</v>
      </c>
      <c r="U54" s="9">
        <v>4</v>
      </c>
      <c r="V54" s="9">
        <v>4</v>
      </c>
      <c r="W54" s="5"/>
    </row>
    <row r="55" spans="4:23" hidden="1" x14ac:dyDescent="0.3">
      <c r="D55" s="5"/>
      <c r="E55" s="8">
        <v>5</v>
      </c>
      <c r="F55" s="4">
        <v>2</v>
      </c>
      <c r="G55" s="4">
        <v>2</v>
      </c>
      <c r="H55" s="4">
        <v>2</v>
      </c>
      <c r="I55" s="4">
        <v>2</v>
      </c>
      <c r="J55" s="4">
        <v>2</v>
      </c>
      <c r="K55" s="4">
        <v>2</v>
      </c>
      <c r="L55" s="7">
        <v>3</v>
      </c>
      <c r="M55" s="7">
        <v>3</v>
      </c>
      <c r="N55" s="7">
        <v>3</v>
      </c>
      <c r="O55" s="7">
        <v>3</v>
      </c>
      <c r="P55" s="7">
        <v>3</v>
      </c>
      <c r="Q55" s="7">
        <v>3</v>
      </c>
      <c r="R55" s="9">
        <v>4</v>
      </c>
      <c r="S55" s="9">
        <v>4</v>
      </c>
      <c r="T55" s="9">
        <v>4</v>
      </c>
      <c r="U55" s="9">
        <v>4</v>
      </c>
      <c r="V55" s="9">
        <v>4</v>
      </c>
      <c r="W55" s="5"/>
    </row>
    <row r="56" spans="4:23" hidden="1" x14ac:dyDescent="0.3">
      <c r="D56" s="5"/>
      <c r="E56" s="8">
        <v>6</v>
      </c>
      <c r="F56" s="4">
        <v>2</v>
      </c>
      <c r="G56" s="4">
        <v>2</v>
      </c>
      <c r="H56" s="4">
        <v>2</v>
      </c>
      <c r="I56" s="4">
        <v>2</v>
      </c>
      <c r="J56" s="4">
        <v>2</v>
      </c>
      <c r="K56" s="4">
        <v>2</v>
      </c>
      <c r="L56" s="7">
        <v>3</v>
      </c>
      <c r="M56" s="7">
        <v>3</v>
      </c>
      <c r="N56" s="7">
        <v>3</v>
      </c>
      <c r="O56" s="7">
        <v>3</v>
      </c>
      <c r="P56" s="7">
        <v>3</v>
      </c>
      <c r="Q56" s="7">
        <v>3</v>
      </c>
      <c r="R56" s="9">
        <v>4</v>
      </c>
      <c r="S56" s="9">
        <v>4</v>
      </c>
      <c r="T56" s="9">
        <v>4</v>
      </c>
      <c r="U56" s="9">
        <v>4</v>
      </c>
      <c r="V56" s="9">
        <v>4</v>
      </c>
      <c r="W56" s="5"/>
    </row>
    <row r="57" spans="4:23" hidden="1" x14ac:dyDescent="0.3">
      <c r="D57" s="5"/>
      <c r="E57" s="8">
        <v>7</v>
      </c>
      <c r="F57" s="4">
        <v>2</v>
      </c>
      <c r="G57" s="4">
        <v>2</v>
      </c>
      <c r="H57" s="4">
        <v>2</v>
      </c>
      <c r="I57" s="4">
        <v>2</v>
      </c>
      <c r="J57" s="4">
        <v>2</v>
      </c>
      <c r="K57" s="4">
        <v>2</v>
      </c>
      <c r="L57" s="7">
        <v>3</v>
      </c>
      <c r="M57" s="7">
        <v>3</v>
      </c>
      <c r="N57" s="7">
        <v>3</v>
      </c>
      <c r="O57" s="7">
        <v>3</v>
      </c>
      <c r="P57" s="7">
        <v>3</v>
      </c>
      <c r="Q57" s="7">
        <v>3</v>
      </c>
      <c r="R57" s="9">
        <v>4</v>
      </c>
      <c r="S57" s="9">
        <v>4</v>
      </c>
      <c r="T57" s="9">
        <v>4</v>
      </c>
      <c r="U57" s="9">
        <v>4</v>
      </c>
      <c r="V57" s="9">
        <v>4</v>
      </c>
      <c r="W57" s="5"/>
    </row>
    <row r="58" spans="4:23" hidden="1" x14ac:dyDescent="0.3">
      <c r="D58" s="5"/>
      <c r="E58" s="8">
        <v>8</v>
      </c>
      <c r="F58" s="4">
        <v>2</v>
      </c>
      <c r="G58" s="4">
        <v>2</v>
      </c>
      <c r="H58" s="4">
        <v>2</v>
      </c>
      <c r="I58" s="4">
        <v>2</v>
      </c>
      <c r="J58" s="4">
        <v>2</v>
      </c>
      <c r="K58" s="4">
        <v>2</v>
      </c>
      <c r="L58" s="7">
        <v>3</v>
      </c>
      <c r="M58" s="7">
        <v>3</v>
      </c>
      <c r="N58" s="7">
        <v>3</v>
      </c>
      <c r="O58" s="7">
        <v>3</v>
      </c>
      <c r="P58" s="7">
        <v>3</v>
      </c>
      <c r="Q58" s="7">
        <v>3</v>
      </c>
      <c r="R58" s="9">
        <v>4</v>
      </c>
      <c r="S58" s="9">
        <v>4</v>
      </c>
      <c r="T58" s="9">
        <v>4</v>
      </c>
      <c r="U58" s="9">
        <v>4</v>
      </c>
      <c r="V58" s="9">
        <v>4</v>
      </c>
      <c r="W58" s="5"/>
    </row>
    <row r="59" spans="4:23" hidden="1" x14ac:dyDescent="0.3">
      <c r="D59" s="5"/>
      <c r="E59" s="8">
        <v>9</v>
      </c>
      <c r="F59" s="4">
        <v>2</v>
      </c>
      <c r="G59" s="4">
        <v>2</v>
      </c>
      <c r="H59" s="4">
        <v>2</v>
      </c>
      <c r="I59" s="4">
        <v>2</v>
      </c>
      <c r="J59" s="4">
        <v>2</v>
      </c>
      <c r="K59" s="4">
        <v>2</v>
      </c>
      <c r="L59" s="7">
        <v>3</v>
      </c>
      <c r="M59" s="7">
        <v>3</v>
      </c>
      <c r="N59" s="7">
        <v>3</v>
      </c>
      <c r="O59" s="7">
        <v>3</v>
      </c>
      <c r="P59" s="7">
        <v>3</v>
      </c>
      <c r="Q59" s="7">
        <v>3</v>
      </c>
      <c r="R59" s="9">
        <v>4</v>
      </c>
      <c r="S59" s="9">
        <v>4</v>
      </c>
      <c r="T59" s="9">
        <v>4</v>
      </c>
      <c r="U59" s="9">
        <v>4</v>
      </c>
      <c r="V59" s="9">
        <v>4</v>
      </c>
      <c r="W59" s="5"/>
    </row>
    <row r="60" spans="4:23" hidden="1" x14ac:dyDescent="0.3">
      <c r="D60" s="5"/>
      <c r="E60" s="8">
        <v>10</v>
      </c>
      <c r="F60" s="4">
        <v>2</v>
      </c>
      <c r="G60" s="4">
        <v>2</v>
      </c>
      <c r="H60" s="4">
        <v>2</v>
      </c>
      <c r="I60" s="4">
        <v>2</v>
      </c>
      <c r="J60" s="4">
        <v>2</v>
      </c>
      <c r="K60" s="4">
        <v>2</v>
      </c>
      <c r="L60" s="10">
        <v>5</v>
      </c>
      <c r="M60" s="10">
        <v>5</v>
      </c>
      <c r="N60" s="10">
        <v>5</v>
      </c>
      <c r="O60" s="10">
        <v>5</v>
      </c>
      <c r="P60" s="10">
        <v>5</v>
      </c>
      <c r="Q60" s="10">
        <v>5</v>
      </c>
      <c r="R60" s="9">
        <v>4</v>
      </c>
      <c r="S60" s="9">
        <v>4</v>
      </c>
      <c r="T60" s="9">
        <v>4</v>
      </c>
      <c r="U60" s="9">
        <v>4</v>
      </c>
      <c r="V60" s="9">
        <v>4</v>
      </c>
      <c r="W60" s="5"/>
    </row>
    <row r="61" spans="4:23" hidden="1" x14ac:dyDescent="0.3">
      <c r="D61" s="5"/>
      <c r="E61" s="8">
        <v>11</v>
      </c>
      <c r="F61" s="4">
        <v>2</v>
      </c>
      <c r="G61" s="4">
        <v>2</v>
      </c>
      <c r="H61" s="4">
        <v>2</v>
      </c>
      <c r="I61" s="4">
        <v>2</v>
      </c>
      <c r="J61" s="4">
        <v>2</v>
      </c>
      <c r="K61" s="10">
        <v>5</v>
      </c>
      <c r="L61" s="10">
        <v>5</v>
      </c>
      <c r="M61" s="10">
        <v>5</v>
      </c>
      <c r="N61" s="10">
        <v>5</v>
      </c>
      <c r="O61" s="10">
        <v>5</v>
      </c>
      <c r="P61" s="10">
        <v>5</v>
      </c>
      <c r="Q61" s="10">
        <v>5</v>
      </c>
      <c r="R61" s="9">
        <v>4</v>
      </c>
      <c r="S61" s="9">
        <v>4</v>
      </c>
      <c r="T61" s="9">
        <v>4</v>
      </c>
      <c r="U61" s="9">
        <v>4</v>
      </c>
      <c r="V61" s="9">
        <v>4</v>
      </c>
      <c r="W61" s="5"/>
    </row>
    <row r="62" spans="4:23" hidden="1" x14ac:dyDescent="0.3">
      <c r="D62" s="5"/>
      <c r="E62" s="8">
        <v>12</v>
      </c>
      <c r="F62" s="4">
        <v>2</v>
      </c>
      <c r="G62" s="4">
        <v>2</v>
      </c>
      <c r="H62" s="4">
        <v>2</v>
      </c>
      <c r="I62" s="4">
        <v>2</v>
      </c>
      <c r="J62" s="10">
        <v>5</v>
      </c>
      <c r="K62" s="10">
        <v>5</v>
      </c>
      <c r="L62" s="10">
        <v>5</v>
      </c>
      <c r="M62" s="10">
        <v>5</v>
      </c>
      <c r="N62" s="10">
        <v>5</v>
      </c>
      <c r="O62" s="10">
        <v>5</v>
      </c>
      <c r="P62" s="10">
        <v>5</v>
      </c>
      <c r="Q62" s="10">
        <v>5</v>
      </c>
      <c r="R62" s="9">
        <v>4</v>
      </c>
      <c r="S62" s="9">
        <v>4</v>
      </c>
      <c r="T62" s="9">
        <v>4</v>
      </c>
      <c r="U62" s="9">
        <v>4</v>
      </c>
      <c r="V62" s="9">
        <v>4</v>
      </c>
      <c r="W62" s="5"/>
    </row>
    <row r="63" spans="4:23" hidden="1" x14ac:dyDescent="0.3">
      <c r="D63" s="5"/>
      <c r="E63" s="8">
        <v>13</v>
      </c>
      <c r="F63" s="4">
        <v>2</v>
      </c>
      <c r="G63" s="4">
        <v>2</v>
      </c>
      <c r="H63" s="4">
        <v>2</v>
      </c>
      <c r="I63" s="4">
        <v>2</v>
      </c>
      <c r="J63" s="10">
        <v>5</v>
      </c>
      <c r="K63" s="10">
        <v>5</v>
      </c>
      <c r="L63" s="10">
        <v>5</v>
      </c>
      <c r="M63" s="10">
        <v>5</v>
      </c>
      <c r="N63" s="10">
        <v>5</v>
      </c>
      <c r="O63" s="10">
        <v>5</v>
      </c>
      <c r="P63" s="10">
        <v>5</v>
      </c>
      <c r="Q63" s="10">
        <v>5</v>
      </c>
      <c r="R63" s="9">
        <v>4</v>
      </c>
      <c r="S63" s="9">
        <v>4</v>
      </c>
      <c r="T63" s="9">
        <v>4</v>
      </c>
      <c r="U63" s="9">
        <v>4</v>
      </c>
      <c r="V63" s="9">
        <v>4</v>
      </c>
      <c r="W63" s="5"/>
    </row>
    <row r="64" spans="4:23" hidden="1" x14ac:dyDescent="0.3">
      <c r="D64" s="5"/>
      <c r="E64" s="8">
        <v>14</v>
      </c>
      <c r="F64" s="4">
        <v>2</v>
      </c>
      <c r="G64" s="4">
        <v>2</v>
      </c>
      <c r="H64" s="4">
        <v>2</v>
      </c>
      <c r="I64" s="10">
        <v>5</v>
      </c>
      <c r="J64" s="10">
        <v>5</v>
      </c>
      <c r="K64" s="10">
        <v>5</v>
      </c>
      <c r="L64" s="10">
        <v>5</v>
      </c>
      <c r="M64" s="10">
        <v>5</v>
      </c>
      <c r="N64" s="10">
        <v>5</v>
      </c>
      <c r="O64" s="10">
        <v>5</v>
      </c>
      <c r="P64" s="10">
        <v>5</v>
      </c>
      <c r="Q64" s="10">
        <v>5</v>
      </c>
      <c r="R64" s="9">
        <v>4</v>
      </c>
      <c r="S64" s="9">
        <v>4</v>
      </c>
      <c r="T64" s="9">
        <v>4</v>
      </c>
      <c r="U64" s="9">
        <v>4</v>
      </c>
      <c r="V64" s="9">
        <v>4</v>
      </c>
      <c r="W64" s="5"/>
    </row>
    <row r="65" spans="4:23" hidden="1" x14ac:dyDescent="0.3"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4:23" hidden="1" x14ac:dyDescent="0.3">
      <c r="D66" s="5"/>
      <c r="E66" s="5"/>
      <c r="F66" s="5"/>
      <c r="G66" s="5"/>
      <c r="H66" s="5"/>
      <c r="I66" s="5" t="s">
        <v>4</v>
      </c>
      <c r="J66" s="5">
        <f>I41</f>
        <v>-1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4:23" hidden="1" x14ac:dyDescent="0.3">
      <c r="D67" s="5"/>
      <c r="E67" s="5"/>
      <c r="F67" s="5"/>
      <c r="G67" s="5"/>
      <c r="H67" s="5"/>
      <c r="I67" s="5" t="s">
        <v>5</v>
      </c>
      <c r="J67" s="5">
        <f>I42</f>
        <v>0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4:23" hidden="1" x14ac:dyDescent="0.3">
      <c r="D68" s="5"/>
      <c r="E68" s="5"/>
      <c r="F68" s="8"/>
      <c r="G68" s="8"/>
      <c r="H68" s="8" cm="1">
        <f t="array" ref="H68:T68">TRANSPOSE(W72:W84)</f>
        <v>4</v>
      </c>
      <c r="I68" s="8">
        <v>5</v>
      </c>
      <c r="J68" s="8">
        <v>6</v>
      </c>
      <c r="K68" s="8">
        <v>7</v>
      </c>
      <c r="L68" s="8">
        <v>8</v>
      </c>
      <c r="M68" s="8">
        <v>9</v>
      </c>
      <c r="N68" s="8">
        <v>10</v>
      </c>
      <c r="O68" s="8">
        <v>11</v>
      </c>
      <c r="P68" s="8">
        <v>12</v>
      </c>
      <c r="Q68" s="8">
        <v>13</v>
      </c>
      <c r="R68" s="8">
        <v>14</v>
      </c>
      <c r="S68" s="8">
        <v>15</v>
      </c>
      <c r="T68" s="8">
        <v>16</v>
      </c>
      <c r="U68" s="8"/>
      <c r="V68" s="8"/>
      <c r="W68" s="5"/>
    </row>
    <row r="69" spans="4:23" hidden="1" x14ac:dyDescent="0.3">
      <c r="D69" s="5"/>
      <c r="E69" s="5"/>
      <c r="F69" s="8">
        <v>-2</v>
      </c>
      <c r="G69" s="8">
        <v>-1</v>
      </c>
      <c r="H69" s="8">
        <v>0</v>
      </c>
      <c r="I69" s="8">
        <v>1</v>
      </c>
      <c r="J69" s="8">
        <v>2</v>
      </c>
      <c r="K69" s="8">
        <v>3</v>
      </c>
      <c r="L69" s="8">
        <v>4</v>
      </c>
      <c r="M69" s="8">
        <v>5</v>
      </c>
      <c r="N69" s="8">
        <v>6</v>
      </c>
      <c r="O69" s="8">
        <v>7</v>
      </c>
      <c r="P69" s="8">
        <v>8</v>
      </c>
      <c r="Q69" s="8">
        <v>9</v>
      </c>
      <c r="R69" s="8">
        <v>10</v>
      </c>
      <c r="S69" s="8">
        <v>11</v>
      </c>
      <c r="T69" s="8">
        <v>12</v>
      </c>
      <c r="U69" s="8">
        <v>13</v>
      </c>
      <c r="V69" s="8">
        <v>14</v>
      </c>
      <c r="W69" s="5"/>
    </row>
    <row r="70" spans="4:23" hidden="1" x14ac:dyDescent="0.3">
      <c r="D70" s="5">
        <f>MATCH(E70-$J$67,$E$48:$E$64,0)</f>
        <v>1</v>
      </c>
      <c r="E70" s="8">
        <v>-2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>
        <f>MATCH(E70-$J$66,$F$47:$V$47,0)</f>
        <v>2</v>
      </c>
    </row>
    <row r="71" spans="4:23" hidden="1" x14ac:dyDescent="0.3">
      <c r="D71" s="5">
        <f t="shared" ref="D71:D86" si="51">MATCH(E71-$J$67,$E$48:$E$64,0)</f>
        <v>2</v>
      </c>
      <c r="E71" s="8">
        <v>-1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>
        <f t="shared" ref="W71:W86" si="52">MATCH(E71-$J$66,$F$47:$V$47,0)</f>
        <v>3</v>
      </c>
    </row>
    <row r="72" spans="4:23" hidden="1" x14ac:dyDescent="0.3">
      <c r="D72" s="5">
        <f t="shared" si="51"/>
        <v>3</v>
      </c>
      <c r="E72" s="8">
        <v>0</v>
      </c>
      <c r="F72" s="5"/>
      <c r="G72" s="5"/>
      <c r="H72" s="5" cm="1">
        <f t="array" ref="H72">INDEX($F$48:$V$64,$D72,H$68)</f>
        <v>1</v>
      </c>
      <c r="I72" s="5" cm="1">
        <f t="array" ref="I72">INDEX($F$48:$V$64,$D72,I$68)</f>
        <v>1</v>
      </c>
      <c r="J72" s="5" cm="1">
        <f t="array" ref="J72">INDEX($F$48:$V$64,$D72,J$68)</f>
        <v>1</v>
      </c>
      <c r="K72" s="5" cm="1">
        <f t="array" ref="K72">INDEX($F$48:$V$64,$D72,K$68)</f>
        <v>1</v>
      </c>
      <c r="L72" s="5" cm="1">
        <f t="array" ref="L72">INDEX($F$48:$V$64,$D72,L$68)</f>
        <v>1</v>
      </c>
      <c r="M72" s="5" cm="1">
        <f t="array" ref="M72">INDEX($F$48:$V$64,$D72,M$68)</f>
        <v>1</v>
      </c>
      <c r="N72" s="5" cm="1">
        <f t="array" ref="N72">INDEX($F$48:$V$64,$D72,N$68)</f>
        <v>4</v>
      </c>
      <c r="O72" s="5" cm="1">
        <f t="array" ref="O72">INDEX($F$48:$V$64,$D72,O$68)</f>
        <v>4</v>
      </c>
      <c r="P72" s="5" cm="1">
        <f t="array" ref="P72">INDEX($F$48:$V$64,$D72,P$68)</f>
        <v>4</v>
      </c>
      <c r="Q72" s="5" cm="1">
        <f t="array" ref="Q72">INDEX($F$48:$V$64,$D72,Q$68)</f>
        <v>4</v>
      </c>
      <c r="R72" s="5" cm="1">
        <f t="array" ref="R72">INDEX($F$48:$V$64,$D72,R$68)</f>
        <v>4</v>
      </c>
      <c r="S72" s="5" cm="1">
        <f t="array" ref="S72">INDEX($F$48:$V$64,$D72,S$68)</f>
        <v>4</v>
      </c>
      <c r="T72" s="5" cm="1">
        <f t="array" ref="T72">INDEX($F$48:$V$64,$D72,T$68)</f>
        <v>4</v>
      </c>
      <c r="U72" s="5"/>
      <c r="V72" s="5"/>
      <c r="W72" s="5">
        <f t="shared" si="52"/>
        <v>4</v>
      </c>
    </row>
    <row r="73" spans="4:23" hidden="1" x14ac:dyDescent="0.3">
      <c r="D73" s="5">
        <f t="shared" si="51"/>
        <v>4</v>
      </c>
      <c r="E73" s="8">
        <v>1</v>
      </c>
      <c r="F73" s="5"/>
      <c r="G73" s="5"/>
      <c r="H73" s="5" cm="1">
        <f t="array" ref="H73">INDEX($F$48:$V$64,$D73,H$68)</f>
        <v>1</v>
      </c>
      <c r="I73" s="5" cm="1">
        <f t="array" ref="I73">INDEX($F$48:$V$64,$D73,I$68)</f>
        <v>1</v>
      </c>
      <c r="J73" s="5" cm="1">
        <f t="array" ref="J73">INDEX($F$48:$V$64,$D73,J$68)</f>
        <v>1</v>
      </c>
      <c r="K73" s="5" cm="1">
        <f t="array" ref="K73">INDEX($F$48:$V$64,$D73,K$68)</f>
        <v>1</v>
      </c>
      <c r="L73" s="5" cm="1">
        <f t="array" ref="L73">INDEX($F$48:$V$64,$D73,L$68)</f>
        <v>1</v>
      </c>
      <c r="M73" s="5" cm="1">
        <f t="array" ref="M73">INDEX($F$48:$V$64,$D73,M$68)</f>
        <v>1</v>
      </c>
      <c r="N73" s="5" cm="1">
        <f t="array" ref="N73">INDEX($F$48:$V$64,$D73,N$68)</f>
        <v>4</v>
      </c>
      <c r="O73" s="5" cm="1">
        <f t="array" ref="O73">INDEX($F$48:$V$64,$D73,O$68)</f>
        <v>4</v>
      </c>
      <c r="P73" s="5" cm="1">
        <f t="array" ref="P73">INDEX($F$48:$V$64,$D73,P$68)</f>
        <v>4</v>
      </c>
      <c r="Q73" s="5" cm="1">
        <f t="array" ref="Q73">INDEX($F$48:$V$64,$D73,Q$68)</f>
        <v>4</v>
      </c>
      <c r="R73" s="5" cm="1">
        <f t="array" ref="R73">INDEX($F$48:$V$64,$D73,R$68)</f>
        <v>4</v>
      </c>
      <c r="S73" s="5" cm="1">
        <f t="array" ref="S73">INDEX($F$48:$V$64,$D73,S$68)</f>
        <v>4</v>
      </c>
      <c r="T73" s="5" cm="1">
        <f t="array" ref="T73">INDEX($F$48:$V$64,$D73,T$68)</f>
        <v>4</v>
      </c>
      <c r="U73" s="5"/>
      <c r="V73" s="5"/>
      <c r="W73" s="5">
        <f t="shared" si="52"/>
        <v>5</v>
      </c>
    </row>
    <row r="74" spans="4:23" hidden="1" x14ac:dyDescent="0.3">
      <c r="D74" s="5">
        <f t="shared" si="51"/>
        <v>5</v>
      </c>
      <c r="E74" s="8">
        <v>2</v>
      </c>
      <c r="F74" s="5"/>
      <c r="G74" s="5"/>
      <c r="H74" s="5" cm="1">
        <f t="array" ref="H74">INDEX($F$48:$V$64,$D74,H$68)</f>
        <v>1</v>
      </c>
      <c r="I74" s="5" cm="1">
        <f t="array" ref="I74">INDEX($F$48:$V$64,$D74,I$68)</f>
        <v>1</v>
      </c>
      <c r="J74" s="5" cm="1">
        <f t="array" ref="J74">INDEX($F$48:$V$64,$D74,J$68)</f>
        <v>1</v>
      </c>
      <c r="K74" s="5" cm="1">
        <f t="array" ref="K74">INDEX($F$48:$V$64,$D74,K$68)</f>
        <v>1</v>
      </c>
      <c r="L74" s="5" cm="1">
        <f t="array" ref="L74">INDEX($F$48:$V$64,$D74,L$68)</f>
        <v>1</v>
      </c>
      <c r="M74" s="5" cm="1">
        <f t="array" ref="M74">INDEX($F$48:$V$64,$D74,M$68)</f>
        <v>3</v>
      </c>
      <c r="N74" s="5" cm="1">
        <f t="array" ref="N74">INDEX($F$48:$V$64,$D74,N$68)</f>
        <v>4</v>
      </c>
      <c r="O74" s="5" cm="1">
        <f t="array" ref="O74">INDEX($F$48:$V$64,$D74,O$68)</f>
        <v>4</v>
      </c>
      <c r="P74" s="5" cm="1">
        <f t="array" ref="P74">INDEX($F$48:$V$64,$D74,P$68)</f>
        <v>4</v>
      </c>
      <c r="Q74" s="5" cm="1">
        <f t="array" ref="Q74">INDEX($F$48:$V$64,$D74,Q$68)</f>
        <v>4</v>
      </c>
      <c r="R74" s="5" cm="1">
        <f t="array" ref="R74">INDEX($F$48:$V$64,$D74,R$68)</f>
        <v>4</v>
      </c>
      <c r="S74" s="5" cm="1">
        <f t="array" ref="S74">INDEX($F$48:$V$64,$D74,S$68)</f>
        <v>4</v>
      </c>
      <c r="T74" s="5" cm="1">
        <f t="array" ref="T74">INDEX($F$48:$V$64,$D74,T$68)</f>
        <v>4</v>
      </c>
      <c r="U74" s="5"/>
      <c r="V74" s="5"/>
      <c r="W74" s="5">
        <f t="shared" si="52"/>
        <v>6</v>
      </c>
    </row>
    <row r="75" spans="4:23" hidden="1" x14ac:dyDescent="0.3">
      <c r="D75" s="5">
        <f t="shared" si="51"/>
        <v>6</v>
      </c>
      <c r="E75" s="8">
        <v>3</v>
      </c>
      <c r="F75" s="5"/>
      <c r="G75" s="5"/>
      <c r="H75" s="5" cm="1">
        <f t="array" ref="H75">INDEX($F$48:$V$64,$D75,H$68)</f>
        <v>1</v>
      </c>
      <c r="I75" s="5" cm="1">
        <f t="array" ref="I75">INDEX($F$48:$V$64,$D75,I$68)</f>
        <v>1</v>
      </c>
      <c r="J75" s="5" cm="1">
        <f t="array" ref="J75">INDEX($F$48:$V$64,$D75,J$68)</f>
        <v>1</v>
      </c>
      <c r="K75" s="5" cm="1">
        <f t="array" ref="K75">INDEX($F$48:$V$64,$D75,K$68)</f>
        <v>1</v>
      </c>
      <c r="L75" s="5" cm="1">
        <f t="array" ref="L75">INDEX($F$48:$V$64,$D75,L$68)</f>
        <v>3</v>
      </c>
      <c r="M75" s="5" cm="1">
        <f t="array" ref="M75">INDEX($F$48:$V$64,$D75,M$68)</f>
        <v>3</v>
      </c>
      <c r="N75" s="5" cm="1">
        <f t="array" ref="N75">INDEX($F$48:$V$64,$D75,N$68)</f>
        <v>3</v>
      </c>
      <c r="O75" s="5" cm="1">
        <f t="array" ref="O75">INDEX($F$48:$V$64,$D75,O$68)</f>
        <v>4</v>
      </c>
      <c r="P75" s="5" cm="1">
        <f t="array" ref="P75">INDEX($F$48:$V$64,$D75,P$68)</f>
        <v>4</v>
      </c>
      <c r="Q75" s="5" cm="1">
        <f t="array" ref="Q75">INDEX($F$48:$V$64,$D75,Q$68)</f>
        <v>4</v>
      </c>
      <c r="R75" s="5" cm="1">
        <f t="array" ref="R75">INDEX($F$48:$V$64,$D75,R$68)</f>
        <v>4</v>
      </c>
      <c r="S75" s="5" cm="1">
        <f t="array" ref="S75">INDEX($F$48:$V$64,$D75,S$68)</f>
        <v>4</v>
      </c>
      <c r="T75" s="5" cm="1">
        <f t="array" ref="T75">INDEX($F$48:$V$64,$D75,T$68)</f>
        <v>4</v>
      </c>
      <c r="U75" s="5"/>
      <c r="V75" s="5"/>
      <c r="W75" s="5">
        <f t="shared" si="52"/>
        <v>7</v>
      </c>
    </row>
    <row r="76" spans="4:23" hidden="1" x14ac:dyDescent="0.3">
      <c r="D76" s="5">
        <f t="shared" si="51"/>
        <v>7</v>
      </c>
      <c r="E76" s="8">
        <v>4</v>
      </c>
      <c r="F76" s="5"/>
      <c r="G76" s="5"/>
      <c r="H76" s="5" cm="1">
        <f t="array" ref="H76">INDEX($F$48:$V$64,$D76,H$68)</f>
        <v>1</v>
      </c>
      <c r="I76" s="5" cm="1">
        <f t="array" ref="I76">INDEX($F$48:$V$64,$D76,I$68)</f>
        <v>1</v>
      </c>
      <c r="J76" s="5" cm="1">
        <f t="array" ref="J76">INDEX($F$48:$V$64,$D76,J$68)</f>
        <v>1</v>
      </c>
      <c r="K76" s="5" cm="1">
        <f t="array" ref="K76">INDEX($F$48:$V$64,$D76,K$68)</f>
        <v>3</v>
      </c>
      <c r="L76" s="5" cm="1">
        <f t="array" ref="L76">INDEX($F$48:$V$64,$D76,L$68)</f>
        <v>3</v>
      </c>
      <c r="M76" s="5" cm="1">
        <f t="array" ref="M76">INDEX($F$48:$V$64,$D76,M$68)</f>
        <v>3</v>
      </c>
      <c r="N76" s="5" cm="1">
        <f t="array" ref="N76">INDEX($F$48:$V$64,$D76,N$68)</f>
        <v>3</v>
      </c>
      <c r="O76" s="5" cm="1">
        <f t="array" ref="O76">INDEX($F$48:$V$64,$D76,O$68)</f>
        <v>3</v>
      </c>
      <c r="P76" s="5" cm="1">
        <f t="array" ref="P76">INDEX($F$48:$V$64,$D76,P$68)</f>
        <v>3</v>
      </c>
      <c r="Q76" s="5" cm="1">
        <f t="array" ref="Q76">INDEX($F$48:$V$64,$D76,Q$68)</f>
        <v>4</v>
      </c>
      <c r="R76" s="5" cm="1">
        <f t="array" ref="R76">INDEX($F$48:$V$64,$D76,R$68)</f>
        <v>4</v>
      </c>
      <c r="S76" s="5" cm="1">
        <f t="array" ref="S76">INDEX($F$48:$V$64,$D76,S$68)</f>
        <v>4</v>
      </c>
      <c r="T76" s="5" cm="1">
        <f t="array" ref="T76">INDEX($F$48:$V$64,$D76,T$68)</f>
        <v>4</v>
      </c>
      <c r="U76" s="5"/>
      <c r="V76" s="5"/>
      <c r="W76" s="5">
        <f t="shared" si="52"/>
        <v>8</v>
      </c>
    </row>
    <row r="77" spans="4:23" hidden="1" x14ac:dyDescent="0.3">
      <c r="D77" s="5">
        <f t="shared" si="51"/>
        <v>8</v>
      </c>
      <c r="E77" s="8">
        <v>5</v>
      </c>
      <c r="F77" s="5"/>
      <c r="G77" s="5"/>
      <c r="H77" s="5" cm="1">
        <f t="array" ref="H77">INDEX($F$48:$V$64,$D77,H$68)</f>
        <v>2</v>
      </c>
      <c r="I77" s="5" cm="1">
        <f t="array" ref="I77">INDEX($F$48:$V$64,$D77,I$68)</f>
        <v>2</v>
      </c>
      <c r="J77" s="5" cm="1">
        <f t="array" ref="J77">INDEX($F$48:$V$64,$D77,J$68)</f>
        <v>2</v>
      </c>
      <c r="K77" s="5" cm="1">
        <f t="array" ref="K77">INDEX($F$48:$V$64,$D77,K$68)</f>
        <v>3</v>
      </c>
      <c r="L77" s="5" cm="1">
        <f t="array" ref="L77">INDEX($F$48:$V$64,$D77,L$68)</f>
        <v>3</v>
      </c>
      <c r="M77" s="5" cm="1">
        <f t="array" ref="M77">INDEX($F$48:$V$64,$D77,M$68)</f>
        <v>3</v>
      </c>
      <c r="N77" s="5" cm="1">
        <f t="array" ref="N77">INDEX($F$48:$V$64,$D77,N$68)</f>
        <v>3</v>
      </c>
      <c r="O77" s="5" cm="1">
        <f t="array" ref="O77">INDEX($F$48:$V$64,$D77,O$68)</f>
        <v>3</v>
      </c>
      <c r="P77" s="5" cm="1">
        <f t="array" ref="P77">INDEX($F$48:$V$64,$D77,P$68)</f>
        <v>3</v>
      </c>
      <c r="Q77" s="5" cm="1">
        <f t="array" ref="Q77">INDEX($F$48:$V$64,$D77,Q$68)</f>
        <v>4</v>
      </c>
      <c r="R77" s="5" cm="1">
        <f t="array" ref="R77">INDEX($F$48:$V$64,$D77,R$68)</f>
        <v>4</v>
      </c>
      <c r="S77" s="5" cm="1">
        <f t="array" ref="S77">INDEX($F$48:$V$64,$D77,S$68)</f>
        <v>4</v>
      </c>
      <c r="T77" s="5" cm="1">
        <f t="array" ref="T77">INDEX($F$48:$V$64,$D77,T$68)</f>
        <v>4</v>
      </c>
      <c r="U77" s="5"/>
      <c r="V77" s="5"/>
      <c r="W77" s="5">
        <f t="shared" si="52"/>
        <v>9</v>
      </c>
    </row>
    <row r="78" spans="4:23" hidden="1" x14ac:dyDescent="0.3">
      <c r="D78" s="5">
        <f t="shared" si="51"/>
        <v>9</v>
      </c>
      <c r="E78" s="8">
        <v>6</v>
      </c>
      <c r="F78" s="5"/>
      <c r="G78" s="5"/>
      <c r="H78" s="5" cm="1">
        <f t="array" ref="H78">INDEX($F$48:$V$64,$D78,H$68)</f>
        <v>2</v>
      </c>
      <c r="I78" s="5" cm="1">
        <f t="array" ref="I78">INDEX($F$48:$V$64,$D78,I$68)</f>
        <v>2</v>
      </c>
      <c r="J78" s="5" cm="1">
        <f t="array" ref="J78">INDEX($F$48:$V$64,$D78,J$68)</f>
        <v>2</v>
      </c>
      <c r="K78" s="5" cm="1">
        <f t="array" ref="K78">INDEX($F$48:$V$64,$D78,K$68)</f>
        <v>3</v>
      </c>
      <c r="L78" s="5" cm="1">
        <f t="array" ref="L78">INDEX($F$48:$V$64,$D78,L$68)</f>
        <v>3</v>
      </c>
      <c r="M78" s="5" cm="1">
        <f t="array" ref="M78">INDEX($F$48:$V$64,$D78,M$68)</f>
        <v>3</v>
      </c>
      <c r="N78" s="5" cm="1">
        <f t="array" ref="N78">INDEX($F$48:$V$64,$D78,N$68)</f>
        <v>3</v>
      </c>
      <c r="O78" s="5" cm="1">
        <f t="array" ref="O78">INDEX($F$48:$V$64,$D78,O$68)</f>
        <v>3</v>
      </c>
      <c r="P78" s="5" cm="1">
        <f t="array" ref="P78">INDEX($F$48:$V$64,$D78,P$68)</f>
        <v>3</v>
      </c>
      <c r="Q78" s="5" cm="1">
        <f t="array" ref="Q78">INDEX($F$48:$V$64,$D78,Q$68)</f>
        <v>4</v>
      </c>
      <c r="R78" s="5" cm="1">
        <f t="array" ref="R78">INDEX($F$48:$V$64,$D78,R$68)</f>
        <v>4</v>
      </c>
      <c r="S78" s="5" cm="1">
        <f t="array" ref="S78">INDEX($F$48:$V$64,$D78,S$68)</f>
        <v>4</v>
      </c>
      <c r="T78" s="5" cm="1">
        <f t="array" ref="T78">INDEX($F$48:$V$64,$D78,T$68)</f>
        <v>4</v>
      </c>
      <c r="U78" s="5"/>
      <c r="V78" s="5"/>
      <c r="W78" s="5">
        <f t="shared" si="52"/>
        <v>10</v>
      </c>
    </row>
    <row r="79" spans="4:23" hidden="1" x14ac:dyDescent="0.3">
      <c r="D79" s="5">
        <f t="shared" si="51"/>
        <v>10</v>
      </c>
      <c r="E79" s="8">
        <v>7</v>
      </c>
      <c r="F79" s="5"/>
      <c r="G79" s="5"/>
      <c r="H79" s="5" cm="1">
        <f t="array" ref="H79">INDEX($F$48:$V$64,$D79,H$68)</f>
        <v>2</v>
      </c>
      <c r="I79" s="5" cm="1">
        <f t="array" ref="I79">INDEX($F$48:$V$64,$D79,I$68)</f>
        <v>2</v>
      </c>
      <c r="J79" s="5" cm="1">
        <f t="array" ref="J79">INDEX($F$48:$V$64,$D79,J$68)</f>
        <v>2</v>
      </c>
      <c r="K79" s="5" cm="1">
        <f t="array" ref="K79">INDEX($F$48:$V$64,$D79,K$68)</f>
        <v>3</v>
      </c>
      <c r="L79" s="5" cm="1">
        <f t="array" ref="L79">INDEX($F$48:$V$64,$D79,L$68)</f>
        <v>3</v>
      </c>
      <c r="M79" s="5" cm="1">
        <f t="array" ref="M79">INDEX($F$48:$V$64,$D79,M$68)</f>
        <v>3</v>
      </c>
      <c r="N79" s="5" cm="1">
        <f t="array" ref="N79">INDEX($F$48:$V$64,$D79,N$68)</f>
        <v>3</v>
      </c>
      <c r="O79" s="5" cm="1">
        <f t="array" ref="O79">INDEX($F$48:$V$64,$D79,O$68)</f>
        <v>3</v>
      </c>
      <c r="P79" s="5" cm="1">
        <f t="array" ref="P79">INDEX($F$48:$V$64,$D79,P$68)</f>
        <v>3</v>
      </c>
      <c r="Q79" s="5" cm="1">
        <f t="array" ref="Q79">INDEX($F$48:$V$64,$D79,Q$68)</f>
        <v>4</v>
      </c>
      <c r="R79" s="5" cm="1">
        <f t="array" ref="R79">INDEX($F$48:$V$64,$D79,R$68)</f>
        <v>4</v>
      </c>
      <c r="S79" s="5" cm="1">
        <f t="array" ref="S79">INDEX($F$48:$V$64,$D79,S$68)</f>
        <v>4</v>
      </c>
      <c r="T79" s="5" cm="1">
        <f t="array" ref="T79">INDEX($F$48:$V$64,$D79,T$68)</f>
        <v>4</v>
      </c>
      <c r="U79" s="5"/>
      <c r="V79" s="5"/>
      <c r="W79" s="5">
        <f t="shared" si="52"/>
        <v>11</v>
      </c>
    </row>
    <row r="80" spans="4:23" hidden="1" x14ac:dyDescent="0.3">
      <c r="D80" s="5">
        <f t="shared" si="51"/>
        <v>11</v>
      </c>
      <c r="E80" s="8">
        <v>8</v>
      </c>
      <c r="F80" s="5"/>
      <c r="G80" s="5"/>
      <c r="H80" s="5" cm="1">
        <f t="array" ref="H80">INDEX($F$48:$V$64,$D80,H$68)</f>
        <v>2</v>
      </c>
      <c r="I80" s="5" cm="1">
        <f t="array" ref="I80">INDEX($F$48:$V$64,$D80,I$68)</f>
        <v>2</v>
      </c>
      <c r="J80" s="5" cm="1">
        <f t="array" ref="J80">INDEX($F$48:$V$64,$D80,J$68)</f>
        <v>2</v>
      </c>
      <c r="K80" s="5" cm="1">
        <f t="array" ref="K80">INDEX($F$48:$V$64,$D80,K$68)</f>
        <v>3</v>
      </c>
      <c r="L80" s="5" cm="1">
        <f t="array" ref="L80">INDEX($F$48:$V$64,$D80,L$68)</f>
        <v>3</v>
      </c>
      <c r="M80" s="5" cm="1">
        <f t="array" ref="M80">INDEX($F$48:$V$64,$D80,M$68)</f>
        <v>3</v>
      </c>
      <c r="N80" s="5" cm="1">
        <f t="array" ref="N80">INDEX($F$48:$V$64,$D80,N$68)</f>
        <v>3</v>
      </c>
      <c r="O80" s="5" cm="1">
        <f t="array" ref="O80">INDEX($F$48:$V$64,$D80,O$68)</f>
        <v>3</v>
      </c>
      <c r="P80" s="5" cm="1">
        <f t="array" ref="P80">INDEX($F$48:$V$64,$D80,P$68)</f>
        <v>3</v>
      </c>
      <c r="Q80" s="5" cm="1">
        <f t="array" ref="Q80">INDEX($F$48:$V$64,$D80,Q$68)</f>
        <v>4</v>
      </c>
      <c r="R80" s="5" cm="1">
        <f t="array" ref="R80">INDEX($F$48:$V$64,$D80,R$68)</f>
        <v>4</v>
      </c>
      <c r="S80" s="5" cm="1">
        <f t="array" ref="S80">INDEX($F$48:$V$64,$D80,S$68)</f>
        <v>4</v>
      </c>
      <c r="T80" s="5" cm="1">
        <f t="array" ref="T80">INDEX($F$48:$V$64,$D80,T$68)</f>
        <v>4</v>
      </c>
      <c r="U80" s="5"/>
      <c r="V80" s="5"/>
      <c r="W80" s="5">
        <f t="shared" si="52"/>
        <v>12</v>
      </c>
    </row>
    <row r="81" spans="4:23" hidden="1" x14ac:dyDescent="0.3">
      <c r="D81" s="5">
        <f t="shared" si="51"/>
        <v>12</v>
      </c>
      <c r="E81" s="8">
        <v>9</v>
      </c>
      <c r="F81" s="5"/>
      <c r="G81" s="5"/>
      <c r="H81" s="5" cm="1">
        <f t="array" ref="H81">INDEX($F$48:$V$64,$D81,H$68)</f>
        <v>2</v>
      </c>
      <c r="I81" s="5" cm="1">
        <f t="array" ref="I81">INDEX($F$48:$V$64,$D81,I$68)</f>
        <v>2</v>
      </c>
      <c r="J81" s="5" cm="1">
        <f t="array" ref="J81">INDEX($F$48:$V$64,$D81,J$68)</f>
        <v>2</v>
      </c>
      <c r="K81" s="5" cm="1">
        <f t="array" ref="K81">INDEX($F$48:$V$64,$D81,K$68)</f>
        <v>3</v>
      </c>
      <c r="L81" s="5" cm="1">
        <f t="array" ref="L81">INDEX($F$48:$V$64,$D81,L$68)</f>
        <v>3</v>
      </c>
      <c r="M81" s="5" cm="1">
        <f t="array" ref="M81">INDEX($F$48:$V$64,$D81,M$68)</f>
        <v>3</v>
      </c>
      <c r="N81" s="5" cm="1">
        <f t="array" ref="N81">INDEX($F$48:$V$64,$D81,N$68)</f>
        <v>3</v>
      </c>
      <c r="O81" s="5" cm="1">
        <f t="array" ref="O81">INDEX($F$48:$V$64,$D81,O$68)</f>
        <v>3</v>
      </c>
      <c r="P81" s="5" cm="1">
        <f t="array" ref="P81">INDEX($F$48:$V$64,$D81,P$68)</f>
        <v>3</v>
      </c>
      <c r="Q81" s="5" cm="1">
        <f t="array" ref="Q81">INDEX($F$48:$V$64,$D81,Q$68)</f>
        <v>4</v>
      </c>
      <c r="R81" s="5" cm="1">
        <f t="array" ref="R81">INDEX($F$48:$V$64,$D81,R$68)</f>
        <v>4</v>
      </c>
      <c r="S81" s="5" cm="1">
        <f t="array" ref="S81">INDEX($F$48:$V$64,$D81,S$68)</f>
        <v>4</v>
      </c>
      <c r="T81" s="5" cm="1">
        <f t="array" ref="T81">INDEX($F$48:$V$64,$D81,T$68)</f>
        <v>4</v>
      </c>
      <c r="U81" s="5"/>
      <c r="V81" s="5"/>
      <c r="W81" s="5">
        <f t="shared" si="52"/>
        <v>13</v>
      </c>
    </row>
    <row r="82" spans="4:23" hidden="1" x14ac:dyDescent="0.3">
      <c r="D82" s="5">
        <f t="shared" si="51"/>
        <v>13</v>
      </c>
      <c r="E82" s="8">
        <v>10</v>
      </c>
      <c r="F82" s="5"/>
      <c r="G82" s="5"/>
      <c r="H82" s="5" cm="1">
        <f t="array" ref="H82">INDEX($F$48:$V$64,$D82,H$68)</f>
        <v>2</v>
      </c>
      <c r="I82" s="5" cm="1">
        <f t="array" ref="I82">INDEX($F$48:$V$64,$D82,I$68)</f>
        <v>2</v>
      </c>
      <c r="J82" s="5" cm="1">
        <f t="array" ref="J82">INDEX($F$48:$V$64,$D82,J$68)</f>
        <v>2</v>
      </c>
      <c r="K82" s="5" cm="1">
        <f t="array" ref="K82">INDEX($F$48:$V$64,$D82,K$68)</f>
        <v>5</v>
      </c>
      <c r="L82" s="5" cm="1">
        <f t="array" ref="L82">INDEX($F$48:$V$64,$D82,L$68)</f>
        <v>5</v>
      </c>
      <c r="M82" s="5" cm="1">
        <f t="array" ref="M82">INDEX($F$48:$V$64,$D82,M$68)</f>
        <v>5</v>
      </c>
      <c r="N82" s="5" cm="1">
        <f t="array" ref="N82">INDEX($F$48:$V$64,$D82,N$68)</f>
        <v>5</v>
      </c>
      <c r="O82" s="5" cm="1">
        <f t="array" ref="O82">INDEX($F$48:$V$64,$D82,O$68)</f>
        <v>5</v>
      </c>
      <c r="P82" s="5" cm="1">
        <f t="array" ref="P82">INDEX($F$48:$V$64,$D82,P$68)</f>
        <v>5</v>
      </c>
      <c r="Q82" s="5" cm="1">
        <f t="array" ref="Q82">INDEX($F$48:$V$64,$D82,Q$68)</f>
        <v>4</v>
      </c>
      <c r="R82" s="5" cm="1">
        <f t="array" ref="R82">INDEX($F$48:$V$64,$D82,R$68)</f>
        <v>4</v>
      </c>
      <c r="S82" s="5" cm="1">
        <f t="array" ref="S82">INDEX($F$48:$V$64,$D82,S$68)</f>
        <v>4</v>
      </c>
      <c r="T82" s="5" cm="1">
        <f t="array" ref="T82">INDEX($F$48:$V$64,$D82,T$68)</f>
        <v>4</v>
      </c>
      <c r="U82" s="5"/>
      <c r="V82" s="5"/>
      <c r="W82" s="5">
        <f t="shared" si="52"/>
        <v>14</v>
      </c>
    </row>
    <row r="83" spans="4:23" hidden="1" x14ac:dyDescent="0.3">
      <c r="D83" s="5">
        <f t="shared" si="51"/>
        <v>14</v>
      </c>
      <c r="E83" s="8">
        <v>11</v>
      </c>
      <c r="F83" s="5"/>
      <c r="G83" s="5"/>
      <c r="H83" s="5" cm="1">
        <f t="array" ref="H83">INDEX($F$48:$V$64,$D83,H$68)</f>
        <v>2</v>
      </c>
      <c r="I83" s="5" cm="1">
        <f t="array" ref="I83">INDEX($F$48:$V$64,$D83,I$68)</f>
        <v>2</v>
      </c>
      <c r="J83" s="5" cm="1">
        <f t="array" ref="J83">INDEX($F$48:$V$64,$D83,J$68)</f>
        <v>5</v>
      </c>
      <c r="K83" s="5" cm="1">
        <f t="array" ref="K83">INDEX($F$48:$V$64,$D83,K$68)</f>
        <v>5</v>
      </c>
      <c r="L83" s="5" cm="1">
        <f t="array" ref="L83">INDEX($F$48:$V$64,$D83,L$68)</f>
        <v>5</v>
      </c>
      <c r="M83" s="5" cm="1">
        <f t="array" ref="M83">INDEX($F$48:$V$64,$D83,M$68)</f>
        <v>5</v>
      </c>
      <c r="N83" s="5" cm="1">
        <f t="array" ref="N83">INDEX($F$48:$V$64,$D83,N$68)</f>
        <v>5</v>
      </c>
      <c r="O83" s="5" cm="1">
        <f t="array" ref="O83">INDEX($F$48:$V$64,$D83,O$68)</f>
        <v>5</v>
      </c>
      <c r="P83" s="5" cm="1">
        <f t="array" ref="P83">INDEX($F$48:$V$64,$D83,P$68)</f>
        <v>5</v>
      </c>
      <c r="Q83" s="5" cm="1">
        <f t="array" ref="Q83">INDEX($F$48:$V$64,$D83,Q$68)</f>
        <v>4</v>
      </c>
      <c r="R83" s="5" cm="1">
        <f t="array" ref="R83">INDEX($F$48:$V$64,$D83,R$68)</f>
        <v>4</v>
      </c>
      <c r="S83" s="5" cm="1">
        <f t="array" ref="S83">INDEX($F$48:$V$64,$D83,S$68)</f>
        <v>4</v>
      </c>
      <c r="T83" s="5" cm="1">
        <f t="array" ref="T83">INDEX($F$48:$V$64,$D83,T$68)</f>
        <v>4</v>
      </c>
      <c r="U83" s="5"/>
      <c r="V83" s="5"/>
      <c r="W83" s="5">
        <f t="shared" si="52"/>
        <v>15</v>
      </c>
    </row>
    <row r="84" spans="4:23" hidden="1" x14ac:dyDescent="0.3">
      <c r="D84" s="5">
        <f t="shared" si="51"/>
        <v>15</v>
      </c>
      <c r="E84" s="8">
        <v>12</v>
      </c>
      <c r="F84" s="5"/>
      <c r="G84" s="5"/>
      <c r="H84" s="5" cm="1">
        <f t="array" ref="H84">INDEX($F$48:$V$64,$D84,H$68)</f>
        <v>2</v>
      </c>
      <c r="I84" s="5" cm="1">
        <f t="array" ref="I84">INDEX($F$48:$V$64,$D84,I$68)</f>
        <v>5</v>
      </c>
      <c r="J84" s="5" cm="1">
        <f t="array" ref="J84">INDEX($F$48:$V$64,$D84,J$68)</f>
        <v>5</v>
      </c>
      <c r="K84" s="5" cm="1">
        <f t="array" ref="K84">INDEX($F$48:$V$64,$D84,K$68)</f>
        <v>5</v>
      </c>
      <c r="L84" s="5" cm="1">
        <f t="array" ref="L84">INDEX($F$48:$V$64,$D84,L$68)</f>
        <v>5</v>
      </c>
      <c r="M84" s="5" cm="1">
        <f t="array" ref="M84">INDEX($F$48:$V$64,$D84,M$68)</f>
        <v>5</v>
      </c>
      <c r="N84" s="5" cm="1">
        <f t="array" ref="N84">INDEX($F$48:$V$64,$D84,N$68)</f>
        <v>5</v>
      </c>
      <c r="O84" s="5" cm="1">
        <f t="array" ref="O84">INDEX($F$48:$V$64,$D84,O$68)</f>
        <v>5</v>
      </c>
      <c r="P84" s="5" cm="1">
        <f t="array" ref="P84">INDEX($F$48:$V$64,$D84,P$68)</f>
        <v>5</v>
      </c>
      <c r="Q84" s="5" cm="1">
        <f t="array" ref="Q84">INDEX($F$48:$V$64,$D84,Q$68)</f>
        <v>4</v>
      </c>
      <c r="R84" s="5" cm="1">
        <f t="array" ref="R84">INDEX($F$48:$V$64,$D84,R$68)</f>
        <v>4</v>
      </c>
      <c r="S84" s="5" cm="1">
        <f t="array" ref="S84">INDEX($F$48:$V$64,$D84,S$68)</f>
        <v>4</v>
      </c>
      <c r="T84" s="5" cm="1">
        <f t="array" ref="T84">INDEX($F$48:$V$64,$D84,T$68)</f>
        <v>4</v>
      </c>
      <c r="U84" s="5"/>
      <c r="V84" s="5"/>
      <c r="W84" s="5">
        <f t="shared" si="52"/>
        <v>16</v>
      </c>
    </row>
    <row r="85" spans="4:23" hidden="1" x14ac:dyDescent="0.3">
      <c r="D85" s="5">
        <f t="shared" si="51"/>
        <v>16</v>
      </c>
      <c r="E85" s="8">
        <v>13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>
        <f t="shared" si="52"/>
        <v>17</v>
      </c>
    </row>
    <row r="86" spans="4:23" hidden="1" x14ac:dyDescent="0.3">
      <c r="D86" s="5">
        <f t="shared" si="51"/>
        <v>17</v>
      </c>
      <c r="E86" s="8">
        <v>14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 t="e">
        <f t="shared" si="52"/>
        <v>#N/A</v>
      </c>
    </row>
    <row r="87" spans="4:23" hidden="1" x14ac:dyDescent="0.3"/>
  </sheetData>
  <sheetProtection algorithmName="SHA-512" hashValue="hcbv3dc0JecbgCZXaZvfWL51bDRy2IPafEiBOSOxz30SlqgOY+ewLA/4YnAoIFXCVE5nEBVnXkeDbu1kFrsH5Q==" saltValue="0noXkGxs1+G/fAW84yPLRg==" spinCount="100000" sheet="1" objects="1" scenarios="1"/>
  <mergeCells count="1">
    <mergeCell ref="C4:D4"/>
  </mergeCells>
  <conditionalFormatting sqref="X4:AJ16">
    <cfRule type="cellIs" dxfId="40" priority="4" operator="equal">
      <formula>0</formula>
    </cfRule>
  </conditionalFormatting>
  <conditionalFormatting sqref="G3:S15">
    <cfRule type="cellIs" dxfId="39" priority="3" operator="equal">
      <formula>0</formula>
    </cfRule>
  </conditionalFormatting>
  <conditionalFormatting sqref="AE21:AQ33">
    <cfRule type="cellIs" dxfId="38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3C76D-F7EB-41A8-9AEF-D8D08FCC9E19}">
  <sheetPr codeName="Sheet2"/>
  <dimension ref="A1:AY148"/>
  <sheetViews>
    <sheetView topLeftCell="AV1" zoomScale="115" zoomScaleNormal="115" workbookViewId="0">
      <selection activeCell="BE9" sqref="BE9"/>
    </sheetView>
  </sheetViews>
  <sheetFormatPr defaultColWidth="5.6640625" defaultRowHeight="13.8" x14ac:dyDescent="0.3"/>
  <cols>
    <col min="1" max="47" width="0" style="12" hidden="1" customWidth="1"/>
    <col min="48" max="16384" width="5.6640625" style="12"/>
  </cols>
  <sheetData>
    <row r="1" spans="1:51" x14ac:dyDescent="0.3">
      <c r="C1" s="14">
        <v>0</v>
      </c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</row>
    <row r="2" spans="1:51" x14ac:dyDescent="0.3">
      <c r="B2" s="12">
        <f>C3</f>
        <v>65</v>
      </c>
      <c r="C2" s="12">
        <f>C3</f>
        <v>65</v>
      </c>
      <c r="D2" s="12">
        <f t="shared" ref="D2:O2" si="0">D3</f>
        <v>70</v>
      </c>
      <c r="E2" s="12">
        <f t="shared" si="0"/>
        <v>69</v>
      </c>
      <c r="F2" s="12">
        <f t="shared" si="0"/>
        <v>69</v>
      </c>
      <c r="G2" s="12">
        <f t="shared" si="0"/>
        <v>65</v>
      </c>
      <c r="H2" s="12">
        <f t="shared" si="0"/>
        <v>65</v>
      </c>
      <c r="I2" s="12">
        <f t="shared" si="0"/>
        <v>35</v>
      </c>
      <c r="J2" s="12">
        <f t="shared" si="0"/>
        <v>36</v>
      </c>
      <c r="K2" s="12">
        <f t="shared" si="0"/>
        <v>35</v>
      </c>
      <c r="L2" s="12">
        <f t="shared" si="0"/>
        <v>34</v>
      </c>
      <c r="M2" s="12">
        <f t="shared" si="0"/>
        <v>37</v>
      </c>
      <c r="N2" s="12">
        <f t="shared" si="0"/>
        <v>38</v>
      </c>
      <c r="O2" s="12">
        <f t="shared" si="0"/>
        <v>35</v>
      </c>
      <c r="P2" s="12">
        <f>O3</f>
        <v>35</v>
      </c>
    </row>
    <row r="3" spans="1:51" ht="14.4" x14ac:dyDescent="0.3">
      <c r="A3" s="14">
        <v>0</v>
      </c>
      <c r="B3" s="12">
        <f>C3</f>
        <v>65</v>
      </c>
      <c r="C3" s="13">
        <f>'Gen Image'!G3</f>
        <v>65</v>
      </c>
      <c r="D3" s="13">
        <f>'Gen Image'!H3</f>
        <v>70</v>
      </c>
      <c r="E3" s="13">
        <f>'Gen Image'!I3</f>
        <v>69</v>
      </c>
      <c r="F3" s="13">
        <f>'Gen Image'!J3</f>
        <v>69</v>
      </c>
      <c r="G3" s="13">
        <f>'Gen Image'!K3</f>
        <v>65</v>
      </c>
      <c r="H3" s="13">
        <f>'Gen Image'!L3</f>
        <v>65</v>
      </c>
      <c r="I3" s="13">
        <f>'Gen Image'!M3</f>
        <v>35</v>
      </c>
      <c r="J3" s="13">
        <f>'Gen Image'!N3</f>
        <v>36</v>
      </c>
      <c r="K3" s="13">
        <f>'Gen Image'!O3</f>
        <v>35</v>
      </c>
      <c r="L3" s="13">
        <f>'Gen Image'!P3</f>
        <v>34</v>
      </c>
      <c r="M3" s="13">
        <f>'Gen Image'!Q3</f>
        <v>37</v>
      </c>
      <c r="N3" s="13">
        <f>'Gen Image'!R3</f>
        <v>38</v>
      </c>
      <c r="O3" s="13">
        <f>'Gen Image'!S3</f>
        <v>35</v>
      </c>
      <c r="P3" s="12">
        <f>O3</f>
        <v>35</v>
      </c>
      <c r="S3" s="11">
        <v>1</v>
      </c>
      <c r="T3" s="11">
        <v>0</v>
      </c>
      <c r="U3" s="11">
        <v>-1</v>
      </c>
      <c r="V3" s="5"/>
      <c r="W3" s="5" cm="1">
        <f t="array" ref="W3:Y5">TRANSPOSE(S3:U5)</f>
        <v>1</v>
      </c>
      <c r="X3" s="5">
        <v>2</v>
      </c>
      <c r="Y3" s="5">
        <v>1</v>
      </c>
      <c r="AA3" s="12">
        <v>3</v>
      </c>
      <c r="AB3" s="12">
        <v>0</v>
      </c>
      <c r="AC3" s="12">
        <v>-3</v>
      </c>
      <c r="AE3" s="12" cm="1">
        <f t="array" ref="AE3:AG5">TRANSPOSE(AA3:AC5)</f>
        <v>3</v>
      </c>
      <c r="AF3" s="12">
        <v>10</v>
      </c>
      <c r="AG3" s="12">
        <v>3</v>
      </c>
    </row>
    <row r="4" spans="1:51" ht="18" x14ac:dyDescent="0.3">
      <c r="A4" s="14">
        <v>1</v>
      </c>
      <c r="B4" s="12">
        <f t="shared" ref="B4:B15" si="1">C4</f>
        <v>68</v>
      </c>
      <c r="C4" s="13">
        <f>'Gen Image'!G4</f>
        <v>68</v>
      </c>
      <c r="D4" s="13">
        <f>'Gen Image'!H4</f>
        <v>66</v>
      </c>
      <c r="E4" s="13">
        <f>'Gen Image'!I4</f>
        <v>66</v>
      </c>
      <c r="F4" s="13">
        <f>'Gen Image'!J4</f>
        <v>66</v>
      </c>
      <c r="G4" s="13">
        <f>'Gen Image'!K4</f>
        <v>68</v>
      </c>
      <c r="H4" s="13">
        <f>'Gen Image'!L4</f>
        <v>67</v>
      </c>
      <c r="I4" s="13">
        <f>'Gen Image'!M4</f>
        <v>36</v>
      </c>
      <c r="J4" s="13">
        <f>'Gen Image'!N4</f>
        <v>35</v>
      </c>
      <c r="K4" s="13">
        <f>'Gen Image'!O4</f>
        <v>35</v>
      </c>
      <c r="L4" s="13">
        <f>'Gen Image'!P4</f>
        <v>36</v>
      </c>
      <c r="M4" s="13">
        <f>'Gen Image'!Q4</f>
        <v>36</v>
      </c>
      <c r="N4" s="13">
        <f>'Gen Image'!R4</f>
        <v>34</v>
      </c>
      <c r="O4" s="13">
        <f>'Gen Image'!S4</f>
        <v>35</v>
      </c>
      <c r="P4" s="12">
        <f t="shared" ref="P4:P15" si="2">O4</f>
        <v>35</v>
      </c>
      <c r="S4" s="11">
        <v>2</v>
      </c>
      <c r="T4" s="11">
        <v>0</v>
      </c>
      <c r="U4" s="11">
        <v>-2</v>
      </c>
      <c r="V4" s="5"/>
      <c r="W4" s="5">
        <v>0</v>
      </c>
      <c r="X4" s="5">
        <v>0</v>
      </c>
      <c r="Y4" s="5">
        <v>0</v>
      </c>
      <c r="AA4" s="12">
        <v>10</v>
      </c>
      <c r="AB4" s="12">
        <v>0</v>
      </c>
      <c r="AC4" s="12">
        <v>-10</v>
      </c>
      <c r="AE4" s="12">
        <v>0</v>
      </c>
      <c r="AF4" s="12">
        <v>0</v>
      </c>
      <c r="AG4" s="12">
        <v>0</v>
      </c>
      <c r="AY4" s="42" t="s">
        <v>46</v>
      </c>
    </row>
    <row r="5" spans="1:51" ht="14.4" x14ac:dyDescent="0.3">
      <c r="A5" s="14">
        <v>2</v>
      </c>
      <c r="B5" s="12">
        <f t="shared" si="1"/>
        <v>67</v>
      </c>
      <c r="C5" s="13">
        <f>'Gen Image'!G5</f>
        <v>67</v>
      </c>
      <c r="D5" s="13">
        <f>'Gen Image'!H5</f>
        <v>67</v>
      </c>
      <c r="E5" s="13">
        <f>'Gen Image'!I5</f>
        <v>65</v>
      </c>
      <c r="F5" s="13">
        <f>'Gen Image'!J5</f>
        <v>66</v>
      </c>
      <c r="G5" s="13">
        <f>'Gen Image'!K5</f>
        <v>64</v>
      </c>
      <c r="H5" s="13">
        <f>'Gen Image'!L5</f>
        <v>198</v>
      </c>
      <c r="I5" s="13">
        <f>'Gen Image'!M5</f>
        <v>35</v>
      </c>
      <c r="J5" s="13">
        <f>'Gen Image'!N5</f>
        <v>37</v>
      </c>
      <c r="K5" s="13">
        <f>'Gen Image'!O5</f>
        <v>35</v>
      </c>
      <c r="L5" s="13">
        <f>'Gen Image'!P5</f>
        <v>34</v>
      </c>
      <c r="M5" s="13">
        <f>'Gen Image'!Q5</f>
        <v>34</v>
      </c>
      <c r="N5" s="13">
        <f>'Gen Image'!R5</f>
        <v>35</v>
      </c>
      <c r="O5" s="13">
        <f>'Gen Image'!S5</f>
        <v>37</v>
      </c>
      <c r="P5" s="12">
        <f t="shared" si="2"/>
        <v>37</v>
      </c>
      <c r="S5" s="11">
        <v>1</v>
      </c>
      <c r="T5" s="11">
        <v>0</v>
      </c>
      <c r="U5" s="11">
        <v>-1</v>
      </c>
      <c r="V5" s="5"/>
      <c r="W5" s="5">
        <v>-1</v>
      </c>
      <c r="X5" s="5">
        <v>-2</v>
      </c>
      <c r="Y5" s="5">
        <v>-1</v>
      </c>
      <c r="AA5" s="12">
        <v>3</v>
      </c>
      <c r="AB5" s="12">
        <v>0</v>
      </c>
      <c r="AC5" s="12">
        <v>-3</v>
      </c>
      <c r="AE5" s="12">
        <v>-3</v>
      </c>
      <c r="AF5" s="12">
        <v>-10</v>
      </c>
      <c r="AG5" s="12">
        <v>-3</v>
      </c>
    </row>
    <row r="6" spans="1:51" x14ac:dyDescent="0.3">
      <c r="A6" s="14">
        <v>3</v>
      </c>
      <c r="B6" s="12">
        <f t="shared" si="1"/>
        <v>64</v>
      </c>
      <c r="C6" s="13">
        <f>'Gen Image'!G6</f>
        <v>64</v>
      </c>
      <c r="D6" s="13">
        <f>'Gen Image'!H6</f>
        <v>69</v>
      </c>
      <c r="E6" s="13">
        <f>'Gen Image'!I6</f>
        <v>68</v>
      </c>
      <c r="F6" s="13">
        <f>'Gen Image'!J6</f>
        <v>66</v>
      </c>
      <c r="G6" s="13">
        <f>'Gen Image'!K6</f>
        <v>201</v>
      </c>
      <c r="H6" s="13">
        <f>'Gen Image'!L6</f>
        <v>199</v>
      </c>
      <c r="I6" s="13">
        <f>'Gen Image'!M6</f>
        <v>198</v>
      </c>
      <c r="J6" s="13">
        <f>'Gen Image'!N6</f>
        <v>36</v>
      </c>
      <c r="K6" s="13">
        <f>'Gen Image'!O6</f>
        <v>35</v>
      </c>
      <c r="L6" s="13">
        <f>'Gen Image'!P6</f>
        <v>38</v>
      </c>
      <c r="M6" s="13">
        <f>'Gen Image'!Q6</f>
        <v>35</v>
      </c>
      <c r="N6" s="13">
        <f>'Gen Image'!R6</f>
        <v>38</v>
      </c>
      <c r="O6" s="13">
        <f>'Gen Image'!S6</f>
        <v>36</v>
      </c>
      <c r="P6" s="12">
        <f t="shared" si="2"/>
        <v>36</v>
      </c>
      <c r="V6" s="12" cm="1">
        <f t="array" ref="V6">SUMPRODUCT(ABS(S3:U5))</f>
        <v>8</v>
      </c>
    </row>
    <row r="7" spans="1:51" x14ac:dyDescent="0.3">
      <c r="A7" s="14">
        <v>4</v>
      </c>
      <c r="B7" s="12">
        <f t="shared" si="1"/>
        <v>67</v>
      </c>
      <c r="C7" s="13">
        <f>'Gen Image'!G7</f>
        <v>67</v>
      </c>
      <c r="D7" s="13">
        <f>'Gen Image'!H7</f>
        <v>64</v>
      </c>
      <c r="E7" s="13">
        <f>'Gen Image'!I7</f>
        <v>64</v>
      </c>
      <c r="F7" s="13">
        <f>'Gen Image'!J7</f>
        <v>199</v>
      </c>
      <c r="G7" s="13">
        <f>'Gen Image'!K7</f>
        <v>198</v>
      </c>
      <c r="H7" s="13">
        <f>'Gen Image'!L7</f>
        <v>201</v>
      </c>
      <c r="I7" s="13">
        <f>'Gen Image'!M7</f>
        <v>202</v>
      </c>
      <c r="J7" s="13">
        <f>'Gen Image'!N7</f>
        <v>199</v>
      </c>
      <c r="K7" s="13">
        <f>'Gen Image'!O7</f>
        <v>200</v>
      </c>
      <c r="L7" s="13">
        <f>'Gen Image'!P7</f>
        <v>36</v>
      </c>
      <c r="M7" s="13">
        <f>'Gen Image'!Q7</f>
        <v>33</v>
      </c>
      <c r="N7" s="13">
        <f>'Gen Image'!R7</f>
        <v>36</v>
      </c>
      <c r="O7" s="13">
        <f>'Gen Image'!S7</f>
        <v>36</v>
      </c>
      <c r="P7" s="12">
        <f t="shared" si="2"/>
        <v>36</v>
      </c>
      <c r="R7" s="12" t="s">
        <v>8</v>
      </c>
      <c r="S7" s="12">
        <f>1/8</f>
        <v>0.125</v>
      </c>
      <c r="AA7" s="12">
        <f>1/32</f>
        <v>3.125E-2</v>
      </c>
    </row>
    <row r="8" spans="1:51" x14ac:dyDescent="0.3">
      <c r="A8" s="14">
        <v>5</v>
      </c>
      <c r="B8" s="12">
        <f t="shared" si="1"/>
        <v>20</v>
      </c>
      <c r="C8" s="13">
        <f>'Gen Image'!G8</f>
        <v>20</v>
      </c>
      <c r="D8" s="13">
        <f>'Gen Image'!H8</f>
        <v>23</v>
      </c>
      <c r="E8" s="13">
        <f>'Gen Image'!I8</f>
        <v>20</v>
      </c>
      <c r="F8" s="13">
        <f>'Gen Image'!J8</f>
        <v>199</v>
      </c>
      <c r="G8" s="13">
        <f>'Gen Image'!K8</f>
        <v>197</v>
      </c>
      <c r="H8" s="13">
        <f>'Gen Image'!L8</f>
        <v>201</v>
      </c>
      <c r="I8" s="13">
        <f>'Gen Image'!M8</f>
        <v>198</v>
      </c>
      <c r="J8" s="13">
        <f>'Gen Image'!N8</f>
        <v>202</v>
      </c>
      <c r="K8" s="13">
        <f>'Gen Image'!O8</f>
        <v>197</v>
      </c>
      <c r="L8" s="13">
        <f>'Gen Image'!P8</f>
        <v>35</v>
      </c>
      <c r="M8" s="13">
        <f>'Gen Image'!Q8</f>
        <v>34</v>
      </c>
      <c r="N8" s="13">
        <f>'Gen Image'!R8</f>
        <v>37</v>
      </c>
      <c r="O8" s="13">
        <f>'Gen Image'!S8</f>
        <v>37</v>
      </c>
      <c r="P8" s="12">
        <f t="shared" si="2"/>
        <v>37</v>
      </c>
    </row>
    <row r="9" spans="1:51" x14ac:dyDescent="0.3">
      <c r="A9" s="14">
        <v>6</v>
      </c>
      <c r="B9" s="12">
        <f t="shared" si="1"/>
        <v>22</v>
      </c>
      <c r="C9" s="13">
        <f>'Gen Image'!G9</f>
        <v>22</v>
      </c>
      <c r="D9" s="13">
        <f>'Gen Image'!H9</f>
        <v>20</v>
      </c>
      <c r="E9" s="13">
        <f>'Gen Image'!I9</f>
        <v>22</v>
      </c>
      <c r="F9" s="13">
        <f>'Gen Image'!J9</f>
        <v>199</v>
      </c>
      <c r="G9" s="13">
        <f>'Gen Image'!K9</f>
        <v>199</v>
      </c>
      <c r="H9" s="13">
        <f>'Gen Image'!L9</f>
        <v>200</v>
      </c>
      <c r="I9" s="13">
        <f>'Gen Image'!M9</f>
        <v>197</v>
      </c>
      <c r="J9" s="13">
        <f>'Gen Image'!N9</f>
        <v>202</v>
      </c>
      <c r="K9" s="13">
        <f>'Gen Image'!O9</f>
        <v>201</v>
      </c>
      <c r="L9" s="13">
        <f>'Gen Image'!P9</f>
        <v>33</v>
      </c>
      <c r="M9" s="13">
        <f>'Gen Image'!Q9</f>
        <v>34</v>
      </c>
      <c r="N9" s="13">
        <f>'Gen Image'!R9</f>
        <v>36</v>
      </c>
      <c r="O9" s="13">
        <f>'Gen Image'!S9</f>
        <v>34</v>
      </c>
      <c r="P9" s="12">
        <f t="shared" si="2"/>
        <v>34</v>
      </c>
      <c r="R9" s="12" t="s">
        <v>28</v>
      </c>
      <c r="S9" s="12">
        <v>0.4</v>
      </c>
    </row>
    <row r="10" spans="1:51" x14ac:dyDescent="0.3">
      <c r="A10" s="14">
        <v>7</v>
      </c>
      <c r="B10" s="12">
        <f t="shared" si="1"/>
        <v>19</v>
      </c>
      <c r="C10" s="13">
        <f>'Gen Image'!G10</f>
        <v>19</v>
      </c>
      <c r="D10" s="13">
        <f>'Gen Image'!H10</f>
        <v>22</v>
      </c>
      <c r="E10" s="13">
        <f>'Gen Image'!I10</f>
        <v>20</v>
      </c>
      <c r="F10" s="13">
        <f>'Gen Image'!J10</f>
        <v>202</v>
      </c>
      <c r="G10" s="13">
        <f>'Gen Image'!K10</f>
        <v>200</v>
      </c>
      <c r="H10" s="13">
        <f>'Gen Image'!L10</f>
        <v>201</v>
      </c>
      <c r="I10" s="13">
        <f>'Gen Image'!M10</f>
        <v>198</v>
      </c>
      <c r="J10" s="13">
        <f>'Gen Image'!N10</f>
        <v>202</v>
      </c>
      <c r="K10" s="13">
        <f>'Gen Image'!O10</f>
        <v>201</v>
      </c>
      <c r="L10" s="13">
        <f>'Gen Image'!P10</f>
        <v>36</v>
      </c>
      <c r="M10" s="13">
        <f>'Gen Image'!Q10</f>
        <v>37</v>
      </c>
      <c r="N10" s="13">
        <f>'Gen Image'!R10</f>
        <v>36</v>
      </c>
      <c r="O10" s="13">
        <f>'Gen Image'!S10</f>
        <v>33</v>
      </c>
      <c r="P10" s="12">
        <f t="shared" si="2"/>
        <v>33</v>
      </c>
      <c r="R10" s="12" t="s">
        <v>29</v>
      </c>
      <c r="S10" s="19">
        <f>1/(2*PI()*(S9^4))</f>
        <v>6.2169899645271585</v>
      </c>
      <c r="Y10" s="12" t="s">
        <v>4</v>
      </c>
      <c r="AC10" s="12" t="s">
        <v>5</v>
      </c>
      <c r="AG10" s="12">
        <v>2</v>
      </c>
      <c r="AH10" s="12">
        <v>1</v>
      </c>
      <c r="AI10" s="12">
        <v>0</v>
      </c>
      <c r="AJ10" s="12">
        <v>-6</v>
      </c>
      <c r="AK10" s="12">
        <v>-31</v>
      </c>
      <c r="AL10" s="12">
        <v>-24</v>
      </c>
      <c r="AM10" s="12">
        <v>55</v>
      </c>
      <c r="AN10" s="12">
        <v>55</v>
      </c>
      <c r="AO10" s="12">
        <v>1</v>
      </c>
      <c r="AP10" s="12">
        <v>0</v>
      </c>
      <c r="AQ10" s="12">
        <v>0</v>
      </c>
      <c r="AR10" s="12">
        <v>0</v>
      </c>
      <c r="AS10" s="12">
        <v>0</v>
      </c>
    </row>
    <row r="11" spans="1:51" x14ac:dyDescent="0.3">
      <c r="A11" s="14">
        <v>8</v>
      </c>
      <c r="B11" s="12">
        <f t="shared" si="1"/>
        <v>20</v>
      </c>
      <c r="C11" s="13">
        <f>'Gen Image'!G11</f>
        <v>20</v>
      </c>
      <c r="D11" s="13">
        <f>'Gen Image'!H11</f>
        <v>21</v>
      </c>
      <c r="E11" s="13">
        <f>'Gen Image'!I11</f>
        <v>23</v>
      </c>
      <c r="F11" s="13">
        <f>'Gen Image'!J11</f>
        <v>199</v>
      </c>
      <c r="G11" s="13">
        <f>'Gen Image'!K11</f>
        <v>200</v>
      </c>
      <c r="H11" s="13">
        <f>'Gen Image'!L11</f>
        <v>200</v>
      </c>
      <c r="I11" s="13">
        <f>'Gen Image'!M11</f>
        <v>197</v>
      </c>
      <c r="J11" s="13">
        <f>'Gen Image'!N11</f>
        <v>197</v>
      </c>
      <c r="K11" s="13">
        <f>'Gen Image'!O11</f>
        <v>201</v>
      </c>
      <c r="L11" s="13">
        <f>'Gen Image'!P11</f>
        <v>34</v>
      </c>
      <c r="M11" s="13">
        <f>'Gen Image'!Q11</f>
        <v>36</v>
      </c>
      <c r="N11" s="13">
        <f>'Gen Image'!R11</f>
        <v>35</v>
      </c>
      <c r="O11" s="13">
        <f>'Gen Image'!S11</f>
        <v>33</v>
      </c>
      <c r="P11" s="12">
        <f t="shared" si="2"/>
        <v>33</v>
      </c>
      <c r="S11" s="12">
        <v>-1</v>
      </c>
      <c r="T11" s="12">
        <v>0</v>
      </c>
      <c r="U11" s="12">
        <v>1</v>
      </c>
      <c r="X11" s="12">
        <v>-1</v>
      </c>
      <c r="Y11" s="12">
        <v>0</v>
      </c>
      <c r="Z11" s="12">
        <v>1</v>
      </c>
      <c r="AG11" s="12">
        <v>2</v>
      </c>
      <c r="AH11" s="12">
        <v>2</v>
      </c>
      <c r="AI11" s="12">
        <v>-7</v>
      </c>
      <c r="AJ11" s="12">
        <v>-25</v>
      </c>
      <c r="AK11" s="12">
        <v>-23</v>
      </c>
      <c r="AL11" s="12">
        <v>-5</v>
      </c>
      <c r="AM11" s="12">
        <v>45</v>
      </c>
      <c r="AN11" s="12">
        <v>45</v>
      </c>
      <c r="AO11" s="12">
        <v>10</v>
      </c>
      <c r="AP11" s="12">
        <v>10</v>
      </c>
      <c r="AQ11" s="12">
        <v>0</v>
      </c>
      <c r="AR11" s="12">
        <v>0</v>
      </c>
      <c r="AS11" s="12">
        <v>0</v>
      </c>
    </row>
    <row r="12" spans="1:51" x14ac:dyDescent="0.3">
      <c r="A12" s="14">
        <v>9</v>
      </c>
      <c r="B12" s="12">
        <f t="shared" si="1"/>
        <v>21</v>
      </c>
      <c r="C12" s="13">
        <f>'Gen Image'!G12</f>
        <v>21</v>
      </c>
      <c r="D12" s="13">
        <f>'Gen Image'!H12</f>
        <v>25</v>
      </c>
      <c r="E12" s="13">
        <f>'Gen Image'!I12</f>
        <v>21</v>
      </c>
      <c r="F12" s="13">
        <f>'Gen Image'!J12</f>
        <v>199</v>
      </c>
      <c r="G12" s="13">
        <f>'Gen Image'!K12</f>
        <v>197</v>
      </c>
      <c r="H12" s="13">
        <f>'Gen Image'!L12</f>
        <v>197</v>
      </c>
      <c r="I12" s="13">
        <f>'Gen Image'!M12</f>
        <v>198</v>
      </c>
      <c r="J12" s="13">
        <f>'Gen Image'!N12</f>
        <v>198</v>
      </c>
      <c r="K12" s="13">
        <f>'Gen Image'!O12</f>
        <v>197</v>
      </c>
      <c r="L12" s="13">
        <f>'Gen Image'!P12</f>
        <v>34</v>
      </c>
      <c r="M12" s="13">
        <f>'Gen Image'!Q12</f>
        <v>35</v>
      </c>
      <c r="N12" s="13">
        <f>'Gen Image'!R12</f>
        <v>37</v>
      </c>
      <c r="O12" s="13">
        <f>'Gen Image'!S12</f>
        <v>34</v>
      </c>
      <c r="P12" s="12">
        <f t="shared" si="2"/>
        <v>34</v>
      </c>
      <c r="R12" s="12">
        <v>-1</v>
      </c>
      <c r="S12" s="19">
        <f>$S$10 * S$11 * EXP(-(S$11^2 + $R12^2)/(2*$S$9^2))</f>
        <v>-1.2001613991907623E-2</v>
      </c>
      <c r="T12" s="19">
        <f t="shared" ref="T12:U14" si="3">$S$10 * T$11 * EXP(-(T$11^2 + $R12^2)/(2*$S$9^2))</f>
        <v>0</v>
      </c>
      <c r="U12" s="19">
        <f t="shared" si="3"/>
        <v>1.2001613991907623E-2</v>
      </c>
      <c r="W12" s="12">
        <v>-1</v>
      </c>
      <c r="X12" s="19">
        <f>S12/$V$15</f>
        <v>-2.0193946626644681E-2</v>
      </c>
      <c r="Y12" s="19">
        <f t="shared" ref="Y12:Z14" si="4">T12/$V$15</f>
        <v>0</v>
      </c>
      <c r="Z12" s="19">
        <f t="shared" si="4"/>
        <v>2.0193946626644681E-2</v>
      </c>
      <c r="AB12" s="20" cm="1">
        <f t="array" ref="AB12:AD14">TRANSPOSE(X12:Z14)</f>
        <v>-2.0193946626644681E-2</v>
      </c>
      <c r="AC12" s="20">
        <v>-0.45961210674671071</v>
      </c>
      <c r="AD12" s="20">
        <v>-2.0193946626644681E-2</v>
      </c>
      <c r="AG12" s="12">
        <v>1</v>
      </c>
      <c r="AH12" s="12">
        <v>0</v>
      </c>
      <c r="AI12" s="12">
        <v>-33</v>
      </c>
      <c r="AJ12" s="12">
        <v>-35</v>
      </c>
      <c r="AK12" s="12">
        <v>-3</v>
      </c>
      <c r="AL12" s="12">
        <v>0</v>
      </c>
      <c r="AM12" s="12">
        <v>9</v>
      </c>
      <c r="AN12" s="12">
        <v>10</v>
      </c>
      <c r="AO12" s="12">
        <v>46</v>
      </c>
      <c r="AP12" s="12">
        <v>45</v>
      </c>
      <c r="AQ12" s="12">
        <v>0</v>
      </c>
      <c r="AR12" s="12">
        <v>0</v>
      </c>
      <c r="AS12" s="12">
        <v>0</v>
      </c>
    </row>
    <row r="13" spans="1:51" x14ac:dyDescent="0.3">
      <c r="A13" s="14">
        <v>10</v>
      </c>
      <c r="B13" s="12">
        <f t="shared" si="1"/>
        <v>23</v>
      </c>
      <c r="C13" s="13">
        <f>'Gen Image'!G13</f>
        <v>23</v>
      </c>
      <c r="D13" s="13">
        <f>'Gen Image'!H13</f>
        <v>22</v>
      </c>
      <c r="E13" s="13">
        <f>'Gen Image'!I13</f>
        <v>23</v>
      </c>
      <c r="F13" s="13">
        <f>'Gen Image'!J13</f>
        <v>71</v>
      </c>
      <c r="G13" s="13">
        <f>'Gen Image'!K13</f>
        <v>70</v>
      </c>
      <c r="H13" s="13">
        <f>'Gen Image'!L13</f>
        <v>70</v>
      </c>
      <c r="I13" s="13">
        <f>'Gen Image'!M13</f>
        <v>72</v>
      </c>
      <c r="J13" s="13">
        <f>'Gen Image'!N13</f>
        <v>69</v>
      </c>
      <c r="K13" s="13">
        <f>'Gen Image'!O13</f>
        <v>70</v>
      </c>
      <c r="L13" s="13">
        <f>'Gen Image'!P13</f>
        <v>34</v>
      </c>
      <c r="M13" s="13">
        <f>'Gen Image'!Q13</f>
        <v>37</v>
      </c>
      <c r="N13" s="13">
        <f>'Gen Image'!R13</f>
        <v>37</v>
      </c>
      <c r="O13" s="13">
        <f>'Gen Image'!S13</f>
        <v>36</v>
      </c>
      <c r="P13" s="12">
        <f t="shared" si="2"/>
        <v>36</v>
      </c>
      <c r="R13" s="12">
        <v>0</v>
      </c>
      <c r="S13" s="19">
        <f t="shared" ref="S13:S14" si="5">$S$10 * S$11 * EXP(-(S$11^2 + $R13^2)/(2*$S$9^2))</f>
        <v>-0.2731554754088199</v>
      </c>
      <c r="T13" s="19">
        <f t="shared" si="3"/>
        <v>0</v>
      </c>
      <c r="U13" s="19">
        <f t="shared" si="3"/>
        <v>0.2731554754088199</v>
      </c>
      <c r="W13" s="12">
        <v>0</v>
      </c>
      <c r="X13" s="19">
        <f t="shared" ref="X13:X14" si="6">S13/$V$15</f>
        <v>-0.45961210674671071</v>
      </c>
      <c r="Y13" s="19">
        <f t="shared" si="4"/>
        <v>0</v>
      </c>
      <c r="Z13" s="19">
        <f t="shared" si="4"/>
        <v>0.45961210674671071</v>
      </c>
      <c r="AB13" s="21">
        <v>0</v>
      </c>
      <c r="AC13" s="20">
        <v>0</v>
      </c>
      <c r="AD13" s="20">
        <v>0</v>
      </c>
      <c r="AG13" s="12">
        <v>0</v>
      </c>
      <c r="AH13" s="12">
        <v>0</v>
      </c>
      <c r="AI13" s="12">
        <v>-56</v>
      </c>
      <c r="AJ13" s="12">
        <v>-53</v>
      </c>
      <c r="AK13" s="12">
        <v>1</v>
      </c>
      <c r="AL13" s="12">
        <v>0</v>
      </c>
      <c r="AM13" s="12">
        <v>0</v>
      </c>
      <c r="AN13" s="12">
        <v>0</v>
      </c>
      <c r="AO13" s="12">
        <v>55</v>
      </c>
      <c r="AP13" s="12">
        <v>56</v>
      </c>
      <c r="AQ13" s="12">
        <v>0</v>
      </c>
      <c r="AR13" s="12">
        <v>0</v>
      </c>
      <c r="AS13" s="12">
        <v>0</v>
      </c>
    </row>
    <row r="14" spans="1:51" x14ac:dyDescent="0.3">
      <c r="A14" s="14">
        <v>11</v>
      </c>
      <c r="B14" s="12">
        <f t="shared" si="1"/>
        <v>19</v>
      </c>
      <c r="C14" s="13">
        <f>'Gen Image'!G14</f>
        <v>19</v>
      </c>
      <c r="D14" s="13">
        <f>'Gen Image'!H14</f>
        <v>20</v>
      </c>
      <c r="E14" s="13">
        <f>'Gen Image'!I14</f>
        <v>69</v>
      </c>
      <c r="F14" s="13">
        <f>'Gen Image'!J14</f>
        <v>70</v>
      </c>
      <c r="G14" s="13">
        <f>'Gen Image'!K14</f>
        <v>70</v>
      </c>
      <c r="H14" s="13">
        <f>'Gen Image'!L14</f>
        <v>70</v>
      </c>
      <c r="I14" s="13">
        <f>'Gen Image'!M14</f>
        <v>69</v>
      </c>
      <c r="J14" s="13">
        <f>'Gen Image'!N14</f>
        <v>71</v>
      </c>
      <c r="K14" s="13">
        <f>'Gen Image'!O14</f>
        <v>73</v>
      </c>
      <c r="L14" s="13">
        <f>'Gen Image'!P14</f>
        <v>37</v>
      </c>
      <c r="M14" s="13">
        <f>'Gen Image'!Q14</f>
        <v>36</v>
      </c>
      <c r="N14" s="13">
        <f>'Gen Image'!R14</f>
        <v>34</v>
      </c>
      <c r="O14" s="13">
        <f>'Gen Image'!S14</f>
        <v>36</v>
      </c>
      <c r="P14" s="12">
        <f t="shared" si="2"/>
        <v>36</v>
      </c>
      <c r="R14" s="12">
        <v>1</v>
      </c>
      <c r="S14" s="19">
        <f t="shared" si="5"/>
        <v>-1.2001613991907623E-2</v>
      </c>
      <c r="T14" s="19">
        <f t="shared" si="3"/>
        <v>0</v>
      </c>
      <c r="U14" s="19">
        <f t="shared" si="3"/>
        <v>1.2001613991907623E-2</v>
      </c>
      <c r="W14" s="12">
        <v>1</v>
      </c>
      <c r="X14" s="19">
        <f t="shared" si="6"/>
        <v>-2.0193946626644681E-2</v>
      </c>
      <c r="Y14" s="19">
        <f t="shared" si="4"/>
        <v>0</v>
      </c>
      <c r="Z14" s="19">
        <f t="shared" si="4"/>
        <v>2.0193946626644681E-2</v>
      </c>
      <c r="AB14" s="20">
        <v>2.0193946626644681E-2</v>
      </c>
      <c r="AC14" s="20">
        <v>0.45961210674671071</v>
      </c>
      <c r="AD14" s="20">
        <v>2.0193946626644681E-2</v>
      </c>
      <c r="AG14" s="12">
        <v>0</v>
      </c>
      <c r="AH14" s="12">
        <v>0</v>
      </c>
      <c r="AI14" s="12">
        <v>-61</v>
      </c>
      <c r="AJ14" s="12">
        <v>-59</v>
      </c>
      <c r="AK14" s="12">
        <v>1</v>
      </c>
      <c r="AL14" s="12">
        <v>0</v>
      </c>
      <c r="AM14" s="12">
        <v>0</v>
      </c>
      <c r="AN14" s="12">
        <v>0</v>
      </c>
      <c r="AO14" s="12">
        <v>55</v>
      </c>
      <c r="AP14" s="12">
        <v>56</v>
      </c>
      <c r="AQ14" s="12">
        <v>0</v>
      </c>
      <c r="AR14" s="12">
        <v>0</v>
      </c>
      <c r="AS14" s="12">
        <v>0</v>
      </c>
    </row>
    <row r="15" spans="1:51" x14ac:dyDescent="0.3">
      <c r="A15" s="14">
        <v>12</v>
      </c>
      <c r="B15" s="12">
        <f t="shared" si="1"/>
        <v>21</v>
      </c>
      <c r="C15" s="13">
        <f>'Gen Image'!G15</f>
        <v>21</v>
      </c>
      <c r="D15" s="13">
        <f>'Gen Image'!H15</f>
        <v>73</v>
      </c>
      <c r="E15" s="13">
        <f>'Gen Image'!I15</f>
        <v>72</v>
      </c>
      <c r="F15" s="13">
        <f>'Gen Image'!J15</f>
        <v>75</v>
      </c>
      <c r="G15" s="13">
        <f>'Gen Image'!K15</f>
        <v>73</v>
      </c>
      <c r="H15" s="13">
        <f>'Gen Image'!L15</f>
        <v>70</v>
      </c>
      <c r="I15" s="13">
        <f>'Gen Image'!M15</f>
        <v>73</v>
      </c>
      <c r="J15" s="13">
        <f>'Gen Image'!N15</f>
        <v>70</v>
      </c>
      <c r="K15" s="13">
        <f>'Gen Image'!O15</f>
        <v>70</v>
      </c>
      <c r="L15" s="13">
        <f>'Gen Image'!P15</f>
        <v>33</v>
      </c>
      <c r="M15" s="13">
        <f>'Gen Image'!Q15</f>
        <v>37</v>
      </c>
      <c r="N15" s="13">
        <f>'Gen Image'!R15</f>
        <v>36</v>
      </c>
      <c r="O15" s="13">
        <f>'Gen Image'!S15</f>
        <v>36</v>
      </c>
      <c r="P15" s="12">
        <f t="shared" si="2"/>
        <v>36</v>
      </c>
      <c r="V15" s="12" cm="1">
        <f t="array" ref="V15">SUMPRODUCT(ABS(S12:U14))</f>
        <v>0.59431740678527023</v>
      </c>
      <c r="AA15" s="12" cm="1">
        <f t="array" ref="AA15">SUMPRODUCT(ABS(X12:Z14))</f>
        <v>1.0000000000000002</v>
      </c>
      <c r="AE15" s="12" cm="1">
        <f t="array" ref="AE15">SUMPRODUCT(ABS(AB12:AD14))</f>
        <v>1.0000000000000002</v>
      </c>
      <c r="AG15" s="12">
        <v>1</v>
      </c>
      <c r="AH15" s="12">
        <v>1</v>
      </c>
      <c r="AI15" s="12">
        <v>-60</v>
      </c>
      <c r="AJ15" s="12">
        <v>-60</v>
      </c>
      <c r="AK15" s="12">
        <v>0</v>
      </c>
      <c r="AL15" s="12">
        <v>0</v>
      </c>
      <c r="AM15" s="12">
        <v>0</v>
      </c>
      <c r="AN15" s="12">
        <v>0</v>
      </c>
      <c r="AO15" s="12">
        <v>56</v>
      </c>
      <c r="AP15" s="12">
        <v>56</v>
      </c>
      <c r="AQ15" s="12">
        <v>0</v>
      </c>
      <c r="AR15" s="12">
        <v>0</v>
      </c>
      <c r="AS15" s="12">
        <v>0</v>
      </c>
    </row>
    <row r="16" spans="1:51" x14ac:dyDescent="0.3">
      <c r="B16" s="12">
        <f>C15</f>
        <v>21</v>
      </c>
      <c r="C16" s="12">
        <f>C15</f>
        <v>21</v>
      </c>
      <c r="D16" s="12">
        <f t="shared" ref="D16:O16" si="7">D15</f>
        <v>73</v>
      </c>
      <c r="E16" s="12">
        <f t="shared" si="7"/>
        <v>72</v>
      </c>
      <c r="F16" s="12">
        <f t="shared" si="7"/>
        <v>75</v>
      </c>
      <c r="G16" s="12">
        <f t="shared" si="7"/>
        <v>73</v>
      </c>
      <c r="H16" s="12">
        <f t="shared" si="7"/>
        <v>70</v>
      </c>
      <c r="I16" s="12">
        <f t="shared" si="7"/>
        <v>73</v>
      </c>
      <c r="J16" s="12">
        <f t="shared" si="7"/>
        <v>70</v>
      </c>
      <c r="K16" s="12">
        <f t="shared" si="7"/>
        <v>70</v>
      </c>
      <c r="L16" s="12">
        <f t="shared" si="7"/>
        <v>33</v>
      </c>
      <c r="M16" s="12">
        <f t="shared" si="7"/>
        <v>37</v>
      </c>
      <c r="N16" s="12">
        <f t="shared" si="7"/>
        <v>36</v>
      </c>
      <c r="O16" s="12">
        <f t="shared" si="7"/>
        <v>36</v>
      </c>
      <c r="P16" s="12">
        <f>O15</f>
        <v>36</v>
      </c>
      <c r="AG16" s="12">
        <v>0</v>
      </c>
      <c r="AH16" s="12">
        <v>0</v>
      </c>
      <c r="AI16" s="12">
        <v>-62</v>
      </c>
      <c r="AJ16" s="12">
        <v>-61</v>
      </c>
      <c r="AK16" s="12">
        <v>1</v>
      </c>
      <c r="AL16" s="12">
        <v>0</v>
      </c>
      <c r="AM16" s="12">
        <v>0</v>
      </c>
      <c r="AN16" s="12">
        <v>0</v>
      </c>
      <c r="AO16" s="12">
        <v>55</v>
      </c>
      <c r="AP16" s="12">
        <v>55</v>
      </c>
      <c r="AQ16" s="12">
        <v>0</v>
      </c>
      <c r="AR16" s="12">
        <v>0</v>
      </c>
      <c r="AS16" s="12">
        <v>0</v>
      </c>
    </row>
    <row r="17" spans="1:45" x14ac:dyDescent="0.3">
      <c r="AG17" s="12">
        <v>0</v>
      </c>
      <c r="AH17" s="12">
        <v>0</v>
      </c>
      <c r="AI17" s="12">
        <v>-61</v>
      </c>
      <c r="AJ17" s="12">
        <v>-60</v>
      </c>
      <c r="AK17" s="12">
        <v>0</v>
      </c>
      <c r="AL17" s="12">
        <v>0</v>
      </c>
      <c r="AM17" s="12">
        <v>0</v>
      </c>
      <c r="AN17" s="12">
        <v>0</v>
      </c>
      <c r="AO17" s="12">
        <v>55</v>
      </c>
      <c r="AP17" s="12">
        <v>55</v>
      </c>
      <c r="AQ17" s="12">
        <v>0</v>
      </c>
      <c r="AR17" s="12">
        <v>0</v>
      </c>
      <c r="AS17" s="12">
        <v>0</v>
      </c>
    </row>
    <row r="18" spans="1:45" x14ac:dyDescent="0.3">
      <c r="G18" s="12" t="s">
        <v>6</v>
      </c>
      <c r="W18" s="12" t="s">
        <v>30</v>
      </c>
      <c r="AG18" s="12">
        <v>0</v>
      </c>
      <c r="AH18" s="12">
        <v>0</v>
      </c>
      <c r="AI18" s="12">
        <v>-53</v>
      </c>
      <c r="AJ18" s="12">
        <v>-54</v>
      </c>
      <c r="AK18" s="12">
        <v>0</v>
      </c>
      <c r="AL18" s="12">
        <v>0</v>
      </c>
      <c r="AM18" s="12">
        <v>0</v>
      </c>
      <c r="AN18" s="12">
        <v>0</v>
      </c>
      <c r="AO18" s="12">
        <v>47</v>
      </c>
      <c r="AP18" s="12">
        <v>49</v>
      </c>
      <c r="AQ18" s="12">
        <v>0</v>
      </c>
      <c r="AR18" s="12">
        <v>0</v>
      </c>
      <c r="AS18" s="12">
        <v>0</v>
      </c>
    </row>
    <row r="19" spans="1:45" x14ac:dyDescent="0.3">
      <c r="C19" s="14">
        <v>0</v>
      </c>
      <c r="D19" s="14">
        <v>1</v>
      </c>
      <c r="E19" s="14">
        <v>2</v>
      </c>
      <c r="F19" s="14">
        <v>3</v>
      </c>
      <c r="G19" s="14">
        <v>4</v>
      </c>
      <c r="H19" s="14">
        <v>5</v>
      </c>
      <c r="I19" s="14">
        <v>6</v>
      </c>
      <c r="J19" s="14">
        <v>7</v>
      </c>
      <c r="K19" s="14">
        <v>8</v>
      </c>
      <c r="L19" s="14">
        <v>9</v>
      </c>
      <c r="M19" s="14">
        <v>10</v>
      </c>
      <c r="N19" s="14">
        <v>11</v>
      </c>
      <c r="O19" s="14">
        <v>12</v>
      </c>
      <c r="S19" s="14">
        <v>0</v>
      </c>
      <c r="T19" s="14">
        <v>1</v>
      </c>
      <c r="U19" s="14">
        <v>2</v>
      </c>
      <c r="V19" s="14">
        <v>3</v>
      </c>
      <c r="W19" s="14">
        <v>4</v>
      </c>
      <c r="X19" s="14">
        <v>5</v>
      </c>
      <c r="Y19" s="14">
        <v>6</v>
      </c>
      <c r="Z19" s="14">
        <v>7</v>
      </c>
      <c r="AA19" s="14">
        <v>8</v>
      </c>
      <c r="AB19" s="14">
        <v>9</v>
      </c>
      <c r="AC19" s="14">
        <v>10</v>
      </c>
      <c r="AD19" s="14">
        <v>11</v>
      </c>
      <c r="AE19" s="14">
        <v>12</v>
      </c>
      <c r="AG19" s="12">
        <v>0</v>
      </c>
      <c r="AH19" s="12">
        <v>-4</v>
      </c>
      <c r="AI19" s="12">
        <v>-31</v>
      </c>
      <c r="AJ19" s="12">
        <v>-27</v>
      </c>
      <c r="AK19" s="12">
        <v>0</v>
      </c>
      <c r="AL19" s="12">
        <v>0</v>
      </c>
      <c r="AM19" s="12">
        <v>0</v>
      </c>
      <c r="AN19" s="12">
        <v>0</v>
      </c>
      <c r="AO19" s="12">
        <v>25</v>
      </c>
      <c r="AP19" s="12">
        <v>27</v>
      </c>
      <c r="AQ19" s="12">
        <v>0</v>
      </c>
      <c r="AR19" s="12">
        <v>-1</v>
      </c>
      <c r="AS19" s="12">
        <v>0</v>
      </c>
    </row>
    <row r="20" spans="1:45" x14ac:dyDescent="0.3">
      <c r="AG20" s="12">
        <v>-4</v>
      </c>
      <c r="AH20" s="12">
        <v>-19</v>
      </c>
      <c r="AI20" s="12">
        <v>-21</v>
      </c>
      <c r="AJ20" s="12">
        <v>-5</v>
      </c>
      <c r="AK20" s="12">
        <v>1</v>
      </c>
      <c r="AL20" s="12">
        <v>0</v>
      </c>
      <c r="AM20" s="12">
        <v>0</v>
      </c>
      <c r="AN20" s="12">
        <v>0</v>
      </c>
      <c r="AO20" s="12">
        <v>19</v>
      </c>
      <c r="AP20" s="12">
        <v>20</v>
      </c>
      <c r="AQ20" s="12">
        <v>0</v>
      </c>
      <c r="AR20" s="12">
        <v>0</v>
      </c>
      <c r="AS20" s="12">
        <v>0</v>
      </c>
    </row>
    <row r="21" spans="1:45" x14ac:dyDescent="0.3">
      <c r="A21" s="14">
        <v>0</v>
      </c>
      <c r="C21" s="13">
        <f>ROUNDDOWN(SUMPRODUCT(B2:D4,$X$12:$Z$14)*$AA$15,0)</f>
        <v>2</v>
      </c>
      <c r="D21" s="13">
        <f t="shared" ref="D21:O21" si="8">ROUNDDOWN(SUMPRODUCT(C2:E4,$X$12:$Z$14)*$AA$15,0)</f>
        <v>1</v>
      </c>
      <c r="E21" s="13">
        <f t="shared" si="8"/>
        <v>0</v>
      </c>
      <c r="F21" s="13">
        <f t="shared" si="8"/>
        <v>-1</v>
      </c>
      <c r="G21" s="13">
        <f t="shared" si="8"/>
        <v>-1</v>
      </c>
      <c r="H21" s="13">
        <f t="shared" si="8"/>
        <v>-15</v>
      </c>
      <c r="I21" s="13">
        <f t="shared" si="8"/>
        <v>-14</v>
      </c>
      <c r="J21" s="13">
        <f t="shared" si="8"/>
        <v>0</v>
      </c>
      <c r="K21" s="13">
        <f t="shared" si="8"/>
        <v>0</v>
      </c>
      <c r="L21" s="13">
        <f t="shared" si="8"/>
        <v>0</v>
      </c>
      <c r="M21" s="13">
        <f t="shared" si="8"/>
        <v>1</v>
      </c>
      <c r="N21" s="13">
        <f t="shared" si="8"/>
        <v>0</v>
      </c>
      <c r="O21" s="13">
        <f t="shared" si="8"/>
        <v>-1</v>
      </c>
      <c r="Q21" s="14">
        <v>0</v>
      </c>
      <c r="S21" s="13">
        <f>ROUNDDOWN(SUMPRODUCT(B2:D4,$AB$12:$AD$14)*$AE$15,0)</f>
        <v>1</v>
      </c>
      <c r="T21" s="13">
        <f t="shared" ref="T21:AE33" si="9">ROUNDDOWN(SUMPRODUCT(C2:E4,$AB$12:$AD$14)*$AE$15,0)</f>
        <v>-1</v>
      </c>
      <c r="U21" s="13">
        <f t="shared" si="9"/>
        <v>-1</v>
      </c>
      <c r="V21" s="13">
        <f t="shared" si="9"/>
        <v>-1</v>
      </c>
      <c r="W21" s="13">
        <f t="shared" si="9"/>
        <v>1</v>
      </c>
      <c r="X21" s="13">
        <f t="shared" si="9"/>
        <v>1</v>
      </c>
      <c r="Y21" s="13">
        <f t="shared" si="9"/>
        <v>0</v>
      </c>
      <c r="Z21" s="13">
        <f t="shared" si="9"/>
        <v>0</v>
      </c>
      <c r="AA21" s="13">
        <f t="shared" si="9"/>
        <v>0</v>
      </c>
      <c r="AB21" s="13">
        <f t="shared" si="9"/>
        <v>0</v>
      </c>
      <c r="AC21" s="13">
        <f t="shared" si="9"/>
        <v>0</v>
      </c>
      <c r="AD21" s="13">
        <f t="shared" si="9"/>
        <v>-1</v>
      </c>
      <c r="AE21" s="13">
        <f t="shared" si="9"/>
        <v>0</v>
      </c>
      <c r="AG21" s="12">
        <v>-18</v>
      </c>
      <c r="AH21" s="12">
        <v>-24</v>
      </c>
      <c r="AI21" s="12">
        <v>-6</v>
      </c>
      <c r="AJ21" s="12">
        <v>0</v>
      </c>
      <c r="AK21" s="12">
        <v>1</v>
      </c>
      <c r="AL21" s="12">
        <v>0</v>
      </c>
      <c r="AM21" s="12">
        <v>-1</v>
      </c>
      <c r="AN21" s="12">
        <v>0</v>
      </c>
      <c r="AO21" s="12">
        <v>19</v>
      </c>
      <c r="AP21" s="12">
        <v>19</v>
      </c>
      <c r="AQ21" s="12">
        <v>0</v>
      </c>
      <c r="AR21" s="12">
        <v>0</v>
      </c>
      <c r="AS21" s="12">
        <v>0</v>
      </c>
    </row>
    <row r="22" spans="1:45" x14ac:dyDescent="0.3">
      <c r="A22" s="14">
        <v>1</v>
      </c>
      <c r="C22" s="13">
        <f t="shared" ref="C22:O33" si="10">ROUNDDOWN(SUMPRODUCT(B3:D5,$X$12:$Z$14)*$AA$15,0)</f>
        <v>0</v>
      </c>
      <c r="D22" s="13">
        <f t="shared" si="10"/>
        <v>0</v>
      </c>
      <c r="E22" s="13">
        <f t="shared" si="10"/>
        <v>0</v>
      </c>
      <c r="F22" s="13">
        <f t="shared" si="10"/>
        <v>0</v>
      </c>
      <c r="G22" s="13">
        <f t="shared" si="10"/>
        <v>3</v>
      </c>
      <c r="H22" s="13">
        <f t="shared" si="10"/>
        <v>-15</v>
      </c>
      <c r="I22" s="13">
        <f t="shared" si="10"/>
        <v>-18</v>
      </c>
      <c r="J22" s="13">
        <f t="shared" si="10"/>
        <v>0</v>
      </c>
      <c r="K22" s="13">
        <f t="shared" si="10"/>
        <v>0</v>
      </c>
      <c r="L22" s="13">
        <f t="shared" si="10"/>
        <v>0</v>
      </c>
      <c r="M22" s="13">
        <f t="shared" si="10"/>
        <v>0</v>
      </c>
      <c r="N22" s="13">
        <f t="shared" si="10"/>
        <v>0</v>
      </c>
      <c r="O22" s="13">
        <f t="shared" si="10"/>
        <v>0</v>
      </c>
      <c r="Q22" s="14">
        <v>1</v>
      </c>
      <c r="S22" s="13">
        <f t="shared" ref="S22:S33" si="11">ROUNDDOWN(SUMPRODUCT(B3:D5,$AB$12:$AD$14)*$AE$15,0)</f>
        <v>0</v>
      </c>
      <c r="T22" s="13">
        <f t="shared" si="9"/>
        <v>-1</v>
      </c>
      <c r="U22" s="13">
        <f t="shared" si="9"/>
        <v>-1</v>
      </c>
      <c r="V22" s="13">
        <f t="shared" si="9"/>
        <v>-1</v>
      </c>
      <c r="W22" s="13">
        <f t="shared" si="9"/>
        <v>2</v>
      </c>
      <c r="X22" s="13">
        <f t="shared" si="9"/>
        <v>61</v>
      </c>
      <c r="Y22" s="13">
        <f t="shared" si="9"/>
        <v>2</v>
      </c>
      <c r="Z22" s="13">
        <f t="shared" si="9"/>
        <v>0</v>
      </c>
      <c r="AA22" s="13">
        <f t="shared" si="9"/>
        <v>0</v>
      </c>
      <c r="AB22" s="13">
        <f t="shared" si="9"/>
        <v>0</v>
      </c>
      <c r="AC22" s="13">
        <f t="shared" si="9"/>
        <v>-1</v>
      </c>
      <c r="AD22" s="13">
        <f t="shared" si="9"/>
        <v>-1</v>
      </c>
      <c r="AE22" s="13">
        <f t="shared" si="9"/>
        <v>0</v>
      </c>
      <c r="AG22" s="12">
        <v>-22</v>
      </c>
      <c r="AH22" s="12">
        <v>-24</v>
      </c>
      <c r="AI22" s="12">
        <v>0</v>
      </c>
      <c r="AJ22" s="12">
        <v>1</v>
      </c>
      <c r="AK22" s="12">
        <v>0</v>
      </c>
      <c r="AL22" s="12">
        <v>0</v>
      </c>
      <c r="AM22" s="12">
        <v>-1</v>
      </c>
      <c r="AN22" s="12">
        <v>0</v>
      </c>
      <c r="AO22" s="12">
        <v>19</v>
      </c>
      <c r="AP22" s="12">
        <v>18</v>
      </c>
      <c r="AQ22" s="12">
        <v>0</v>
      </c>
      <c r="AR22" s="12">
        <v>0</v>
      </c>
      <c r="AS22" s="12">
        <v>0</v>
      </c>
    </row>
    <row r="23" spans="1:45" x14ac:dyDescent="0.3">
      <c r="A23" s="14">
        <v>2</v>
      </c>
      <c r="C23" s="13">
        <f t="shared" si="10"/>
        <v>0</v>
      </c>
      <c r="D23" s="13">
        <f t="shared" si="10"/>
        <v>0</v>
      </c>
      <c r="E23" s="13">
        <f t="shared" si="10"/>
        <v>0</v>
      </c>
      <c r="F23" s="13">
        <f t="shared" si="10"/>
        <v>2</v>
      </c>
      <c r="G23" s="13">
        <f t="shared" si="10"/>
        <v>63</v>
      </c>
      <c r="H23" s="13">
        <f t="shared" si="10"/>
        <v>-14</v>
      </c>
      <c r="I23" s="13">
        <f t="shared" si="10"/>
        <v>-77</v>
      </c>
      <c r="J23" s="13">
        <f t="shared" si="10"/>
        <v>-3</v>
      </c>
      <c r="K23" s="13">
        <f t="shared" si="10"/>
        <v>-1</v>
      </c>
      <c r="L23" s="13">
        <f t="shared" si="10"/>
        <v>0</v>
      </c>
      <c r="M23" s="13">
        <f t="shared" si="10"/>
        <v>0</v>
      </c>
      <c r="N23" s="13">
        <f t="shared" si="10"/>
        <v>1</v>
      </c>
      <c r="O23" s="13">
        <f t="shared" si="10"/>
        <v>0</v>
      </c>
      <c r="Q23" s="14">
        <v>2</v>
      </c>
      <c r="S23" s="13">
        <f t="shared" si="11"/>
        <v>-1</v>
      </c>
      <c r="T23" s="13">
        <f t="shared" si="9"/>
        <v>1</v>
      </c>
      <c r="U23" s="13">
        <f t="shared" si="9"/>
        <v>0</v>
      </c>
      <c r="V23" s="13">
        <f t="shared" si="9"/>
        <v>2</v>
      </c>
      <c r="W23" s="13">
        <f t="shared" si="9"/>
        <v>63</v>
      </c>
      <c r="X23" s="13">
        <f t="shared" si="9"/>
        <v>66</v>
      </c>
      <c r="Y23" s="13">
        <f t="shared" si="9"/>
        <v>77</v>
      </c>
      <c r="Z23" s="13">
        <f t="shared" si="9"/>
        <v>3</v>
      </c>
      <c r="AA23" s="13">
        <f t="shared" si="9"/>
        <v>0</v>
      </c>
      <c r="AB23" s="13">
        <f t="shared" si="9"/>
        <v>0</v>
      </c>
      <c r="AC23" s="13">
        <f t="shared" si="9"/>
        <v>0</v>
      </c>
      <c r="AD23" s="13">
        <f t="shared" si="9"/>
        <v>1</v>
      </c>
      <c r="AE23" s="13">
        <f t="shared" si="9"/>
        <v>0</v>
      </c>
    </row>
    <row r="24" spans="1:45" x14ac:dyDescent="0.3">
      <c r="A24" s="14">
        <v>3</v>
      </c>
      <c r="C24" s="13">
        <f t="shared" si="10"/>
        <v>2</v>
      </c>
      <c r="D24" s="13">
        <f t="shared" si="10"/>
        <v>1</v>
      </c>
      <c r="E24" s="13">
        <f t="shared" si="10"/>
        <v>1</v>
      </c>
      <c r="F24" s="13">
        <f t="shared" si="10"/>
        <v>63</v>
      </c>
      <c r="G24" s="13">
        <f t="shared" si="10"/>
        <v>63</v>
      </c>
      <c r="H24" s="13">
        <f t="shared" si="10"/>
        <v>-1</v>
      </c>
      <c r="I24" s="13">
        <f t="shared" si="10"/>
        <v>-78</v>
      </c>
      <c r="J24" s="13">
        <f t="shared" si="10"/>
        <v>-74</v>
      </c>
      <c r="K24" s="13">
        <f t="shared" si="10"/>
        <v>-2</v>
      </c>
      <c r="L24" s="13">
        <f t="shared" si="10"/>
        <v>-3</v>
      </c>
      <c r="M24" s="13">
        <f t="shared" si="10"/>
        <v>0</v>
      </c>
      <c r="N24" s="13">
        <f t="shared" si="10"/>
        <v>0</v>
      </c>
      <c r="O24" s="13">
        <f t="shared" si="10"/>
        <v>0</v>
      </c>
      <c r="Q24" s="14">
        <v>3</v>
      </c>
      <c r="S24" s="13">
        <f t="shared" si="11"/>
        <v>0</v>
      </c>
      <c r="T24" s="13">
        <f t="shared" si="9"/>
        <v>-1</v>
      </c>
      <c r="U24" s="13">
        <f t="shared" si="9"/>
        <v>2</v>
      </c>
      <c r="V24" s="13">
        <f t="shared" si="9"/>
        <v>63</v>
      </c>
      <c r="W24" s="13">
        <f t="shared" si="9"/>
        <v>64</v>
      </c>
      <c r="X24" s="13">
        <f t="shared" si="9"/>
        <v>7</v>
      </c>
      <c r="Y24" s="13">
        <f t="shared" si="9"/>
        <v>80</v>
      </c>
      <c r="Z24" s="13">
        <f t="shared" si="9"/>
        <v>81</v>
      </c>
      <c r="AA24" s="13">
        <f t="shared" si="9"/>
        <v>79</v>
      </c>
      <c r="AB24" s="13">
        <f t="shared" si="9"/>
        <v>4</v>
      </c>
      <c r="AC24" s="13">
        <f t="shared" si="9"/>
        <v>0</v>
      </c>
      <c r="AD24" s="13">
        <f t="shared" si="9"/>
        <v>0</v>
      </c>
      <c r="AE24" s="13">
        <f t="shared" si="9"/>
        <v>0</v>
      </c>
    </row>
    <row r="25" spans="1:45" x14ac:dyDescent="0.3">
      <c r="A25" s="14">
        <v>4</v>
      </c>
      <c r="C25" s="13">
        <f t="shared" si="10"/>
        <v>-1</v>
      </c>
      <c r="D25" s="13">
        <f t="shared" si="10"/>
        <v>-1</v>
      </c>
      <c r="E25" s="13">
        <f t="shared" si="10"/>
        <v>65</v>
      </c>
      <c r="F25" s="13">
        <f t="shared" si="10"/>
        <v>67</v>
      </c>
      <c r="G25" s="13">
        <f t="shared" si="10"/>
        <v>3</v>
      </c>
      <c r="H25" s="13">
        <f t="shared" si="10"/>
        <v>1</v>
      </c>
      <c r="I25" s="13">
        <f t="shared" si="10"/>
        <v>-4</v>
      </c>
      <c r="J25" s="13">
        <f t="shared" si="10"/>
        <v>-4</v>
      </c>
      <c r="K25" s="13">
        <f t="shared" si="10"/>
        <v>-78</v>
      </c>
      <c r="L25" s="13">
        <f t="shared" si="10"/>
        <v>-80</v>
      </c>
      <c r="M25" s="13">
        <f t="shared" si="10"/>
        <v>0</v>
      </c>
      <c r="N25" s="13">
        <f t="shared" si="10"/>
        <v>1</v>
      </c>
      <c r="O25" s="13">
        <f t="shared" si="10"/>
        <v>0</v>
      </c>
      <c r="Q25" s="14">
        <v>4</v>
      </c>
      <c r="S25" s="13">
        <f t="shared" si="11"/>
        <v>-22</v>
      </c>
      <c r="T25" s="13">
        <f t="shared" si="9"/>
        <v>-23</v>
      </c>
      <c r="U25" s="13">
        <f t="shared" si="9"/>
        <v>-20</v>
      </c>
      <c r="V25" s="13">
        <f t="shared" si="9"/>
        <v>60</v>
      </c>
      <c r="W25" s="13">
        <f t="shared" si="9"/>
        <v>0</v>
      </c>
      <c r="X25" s="13">
        <f t="shared" si="9"/>
        <v>0</v>
      </c>
      <c r="Y25" s="13">
        <f t="shared" si="9"/>
        <v>3</v>
      </c>
      <c r="Z25" s="13">
        <f t="shared" si="9"/>
        <v>79</v>
      </c>
      <c r="AA25" s="13">
        <f t="shared" si="9"/>
        <v>77</v>
      </c>
      <c r="AB25" s="13">
        <f t="shared" si="9"/>
        <v>1</v>
      </c>
      <c r="AC25" s="13">
        <f t="shared" si="9"/>
        <v>0</v>
      </c>
      <c r="AD25" s="13">
        <f t="shared" si="9"/>
        <v>0</v>
      </c>
      <c r="AE25" s="13">
        <f t="shared" si="9"/>
        <v>0</v>
      </c>
      <c r="AN25" s="12" t="s">
        <v>11</v>
      </c>
      <c r="AO25" s="12">
        <v>0</v>
      </c>
    </row>
    <row r="26" spans="1:45" x14ac:dyDescent="0.3">
      <c r="A26" s="14">
        <v>5</v>
      </c>
      <c r="C26" s="13">
        <f t="shared" si="10"/>
        <v>1</v>
      </c>
      <c r="D26" s="13">
        <f t="shared" si="10"/>
        <v>0</v>
      </c>
      <c r="E26" s="13">
        <f t="shared" si="10"/>
        <v>87</v>
      </c>
      <c r="F26" s="13">
        <f t="shared" si="10"/>
        <v>87</v>
      </c>
      <c r="G26" s="13">
        <f t="shared" si="10"/>
        <v>0</v>
      </c>
      <c r="H26" s="13">
        <f t="shared" si="10"/>
        <v>0</v>
      </c>
      <c r="I26" s="13">
        <f t="shared" si="10"/>
        <v>0</v>
      </c>
      <c r="J26" s="13">
        <f t="shared" si="10"/>
        <v>0</v>
      </c>
      <c r="K26" s="13">
        <f t="shared" si="10"/>
        <v>-83</v>
      </c>
      <c r="L26" s="13">
        <f t="shared" si="10"/>
        <v>-81</v>
      </c>
      <c r="M26" s="13">
        <f t="shared" si="10"/>
        <v>0</v>
      </c>
      <c r="N26" s="13">
        <f t="shared" si="10"/>
        <v>1</v>
      </c>
      <c r="O26" s="13">
        <f t="shared" si="10"/>
        <v>0</v>
      </c>
      <c r="Q26" s="14">
        <v>5</v>
      </c>
      <c r="S26" s="13">
        <f t="shared" si="11"/>
        <v>-22</v>
      </c>
      <c r="T26" s="13">
        <f t="shared" si="9"/>
        <v>-21</v>
      </c>
      <c r="U26" s="13">
        <f t="shared" si="9"/>
        <v>-20</v>
      </c>
      <c r="V26" s="13">
        <f t="shared" si="9"/>
        <v>0</v>
      </c>
      <c r="W26" s="13">
        <f t="shared" si="9"/>
        <v>0</v>
      </c>
      <c r="X26" s="13">
        <f t="shared" si="9"/>
        <v>0</v>
      </c>
      <c r="Y26" s="13">
        <f t="shared" si="9"/>
        <v>-2</v>
      </c>
      <c r="Z26" s="13">
        <f t="shared" si="9"/>
        <v>1</v>
      </c>
      <c r="AA26" s="13">
        <f t="shared" si="9"/>
        <v>0</v>
      </c>
      <c r="AB26" s="13">
        <f t="shared" si="9"/>
        <v>-1</v>
      </c>
      <c r="AC26" s="13">
        <f t="shared" si="9"/>
        <v>0</v>
      </c>
      <c r="AD26" s="13">
        <f t="shared" si="9"/>
        <v>0</v>
      </c>
      <c r="AE26" s="13">
        <f t="shared" si="9"/>
        <v>0</v>
      </c>
      <c r="AN26" s="12" t="s">
        <v>12</v>
      </c>
      <c r="AO26" s="12">
        <v>0.6</v>
      </c>
    </row>
    <row r="27" spans="1:45" x14ac:dyDescent="0.3">
      <c r="A27" s="14">
        <v>6</v>
      </c>
      <c r="C27" s="13">
        <f t="shared" si="10"/>
        <v>0</v>
      </c>
      <c r="D27" s="13">
        <f t="shared" si="10"/>
        <v>0</v>
      </c>
      <c r="E27" s="13">
        <f t="shared" si="10"/>
        <v>89</v>
      </c>
      <c r="F27" s="13">
        <f t="shared" si="10"/>
        <v>88</v>
      </c>
      <c r="G27" s="13">
        <f t="shared" si="10"/>
        <v>0</v>
      </c>
      <c r="H27" s="13">
        <f t="shared" si="10"/>
        <v>0</v>
      </c>
      <c r="I27" s="13">
        <f t="shared" si="10"/>
        <v>0</v>
      </c>
      <c r="J27" s="13">
        <f t="shared" si="10"/>
        <v>1</v>
      </c>
      <c r="K27" s="13">
        <f t="shared" si="10"/>
        <v>-84</v>
      </c>
      <c r="L27" s="13">
        <f t="shared" si="10"/>
        <v>-83</v>
      </c>
      <c r="M27" s="13">
        <f t="shared" si="10"/>
        <v>1</v>
      </c>
      <c r="N27" s="13">
        <f t="shared" si="10"/>
        <v>0</v>
      </c>
      <c r="O27" s="13">
        <f t="shared" si="10"/>
        <v>0</v>
      </c>
      <c r="Q27" s="14">
        <v>6</v>
      </c>
      <c r="S27" s="13">
        <f t="shared" si="11"/>
        <v>0</v>
      </c>
      <c r="T27" s="13">
        <f t="shared" si="9"/>
        <v>0</v>
      </c>
      <c r="U27" s="13">
        <f t="shared" si="9"/>
        <v>0</v>
      </c>
      <c r="V27" s="13">
        <f t="shared" si="9"/>
        <v>1</v>
      </c>
      <c r="W27" s="13">
        <f t="shared" si="9"/>
        <v>1</v>
      </c>
      <c r="X27" s="13">
        <f t="shared" si="9"/>
        <v>0</v>
      </c>
      <c r="Y27" s="13">
        <f t="shared" si="9"/>
        <v>0</v>
      </c>
      <c r="Z27" s="13">
        <f t="shared" si="9"/>
        <v>0</v>
      </c>
      <c r="AA27" s="13">
        <f t="shared" si="9"/>
        <v>1</v>
      </c>
      <c r="AB27" s="13">
        <f t="shared" si="9"/>
        <v>0</v>
      </c>
      <c r="AC27" s="13">
        <f t="shared" si="9"/>
        <v>1</v>
      </c>
      <c r="AD27" s="13">
        <f t="shared" si="9"/>
        <v>0</v>
      </c>
      <c r="AE27" s="13">
        <f t="shared" si="9"/>
        <v>-1</v>
      </c>
      <c r="AM27" s="12" t="s">
        <v>13</v>
      </c>
      <c r="AN27" s="12">
        <v>-1</v>
      </c>
      <c r="AO27" s="12">
        <v>0</v>
      </c>
      <c r="AP27" s="12">
        <v>1</v>
      </c>
    </row>
    <row r="28" spans="1:45" x14ac:dyDescent="0.3">
      <c r="A28" s="14">
        <v>7</v>
      </c>
      <c r="C28" s="13">
        <f t="shared" si="10"/>
        <v>1</v>
      </c>
      <c r="D28" s="13">
        <f t="shared" si="10"/>
        <v>0</v>
      </c>
      <c r="E28" s="13">
        <f t="shared" si="10"/>
        <v>89</v>
      </c>
      <c r="F28" s="13">
        <f t="shared" si="10"/>
        <v>89</v>
      </c>
      <c r="G28" s="13">
        <f t="shared" si="10"/>
        <v>0</v>
      </c>
      <c r="H28" s="13">
        <f t="shared" si="10"/>
        <v>-1</v>
      </c>
      <c r="I28" s="13">
        <f t="shared" si="10"/>
        <v>0</v>
      </c>
      <c r="J28" s="13">
        <f t="shared" si="10"/>
        <v>1</v>
      </c>
      <c r="K28" s="13">
        <f t="shared" si="10"/>
        <v>-83</v>
      </c>
      <c r="L28" s="13">
        <f t="shared" si="10"/>
        <v>-82</v>
      </c>
      <c r="M28" s="13">
        <f t="shared" si="10"/>
        <v>0</v>
      </c>
      <c r="N28" s="13">
        <f t="shared" si="10"/>
        <v>-1</v>
      </c>
      <c r="O28" s="13">
        <f t="shared" si="10"/>
        <v>-1</v>
      </c>
      <c r="Q28" s="14">
        <v>7</v>
      </c>
      <c r="S28" s="13">
        <f t="shared" si="11"/>
        <v>0</v>
      </c>
      <c r="T28" s="13">
        <f t="shared" si="9"/>
        <v>0</v>
      </c>
      <c r="U28" s="13">
        <f t="shared" si="9"/>
        <v>0</v>
      </c>
      <c r="V28" s="13">
        <f t="shared" si="9"/>
        <v>0</v>
      </c>
      <c r="W28" s="13">
        <f t="shared" si="9"/>
        <v>0</v>
      </c>
      <c r="X28" s="13">
        <f t="shared" si="9"/>
        <v>0</v>
      </c>
      <c r="Y28" s="13">
        <f t="shared" si="9"/>
        <v>0</v>
      </c>
      <c r="Z28" s="13">
        <f t="shared" si="9"/>
        <v>-2</v>
      </c>
      <c r="AA28" s="13">
        <f t="shared" si="9"/>
        <v>0</v>
      </c>
      <c r="AB28" s="13">
        <f t="shared" si="9"/>
        <v>0</v>
      </c>
      <c r="AC28" s="13">
        <f t="shared" si="9"/>
        <v>0</v>
      </c>
      <c r="AD28" s="13">
        <f t="shared" si="9"/>
        <v>0</v>
      </c>
      <c r="AE28" s="13">
        <f t="shared" si="9"/>
        <v>0</v>
      </c>
      <c r="AN28" s="12">
        <f>_xlfn.NORM.DIST(AN27,$AO$25,$AO$26,FALSE)</f>
        <v>0.16579523132124779</v>
      </c>
      <c r="AO28" s="12">
        <f t="shared" ref="AO28:AP28" si="12">_xlfn.NORM.DIST(AO27,$AO$25,$AO$26,FALSE)</f>
        <v>0.66490380066905452</v>
      </c>
      <c r="AP28" s="12">
        <f t="shared" si="12"/>
        <v>0.16579523132124779</v>
      </c>
    </row>
    <row r="29" spans="1:45" x14ac:dyDescent="0.3">
      <c r="A29" s="14">
        <v>8</v>
      </c>
      <c r="C29" s="13">
        <f t="shared" si="10"/>
        <v>0</v>
      </c>
      <c r="D29" s="13">
        <f t="shared" si="10"/>
        <v>1</v>
      </c>
      <c r="E29" s="13">
        <f t="shared" si="10"/>
        <v>88</v>
      </c>
      <c r="F29" s="13">
        <f t="shared" si="10"/>
        <v>88</v>
      </c>
      <c r="G29" s="13">
        <f t="shared" si="10"/>
        <v>0</v>
      </c>
      <c r="H29" s="13">
        <f t="shared" si="10"/>
        <v>-1</v>
      </c>
      <c r="I29" s="13">
        <f t="shared" si="10"/>
        <v>-1</v>
      </c>
      <c r="J29" s="13">
        <f t="shared" si="10"/>
        <v>1</v>
      </c>
      <c r="K29" s="13">
        <f t="shared" si="10"/>
        <v>-81</v>
      </c>
      <c r="L29" s="13">
        <f t="shared" si="10"/>
        <v>-82</v>
      </c>
      <c r="M29" s="13">
        <f t="shared" si="10"/>
        <v>0</v>
      </c>
      <c r="N29" s="13">
        <f t="shared" si="10"/>
        <v>-1</v>
      </c>
      <c r="O29" s="13">
        <f t="shared" si="10"/>
        <v>-1</v>
      </c>
      <c r="Q29" s="14">
        <v>8</v>
      </c>
      <c r="S29" s="13">
        <f t="shared" si="11"/>
        <v>1</v>
      </c>
      <c r="T29" s="13">
        <f t="shared" si="9"/>
        <v>1</v>
      </c>
      <c r="U29" s="13">
        <f t="shared" si="9"/>
        <v>0</v>
      </c>
      <c r="V29" s="13">
        <f t="shared" si="9"/>
        <v>-1</v>
      </c>
      <c r="W29" s="13">
        <f t="shared" si="9"/>
        <v>-1</v>
      </c>
      <c r="X29" s="13">
        <f t="shared" si="9"/>
        <v>-1</v>
      </c>
      <c r="Y29" s="13">
        <f t="shared" si="9"/>
        <v>0</v>
      </c>
      <c r="Z29" s="13">
        <f t="shared" si="9"/>
        <v>-1</v>
      </c>
      <c r="AA29" s="13">
        <f t="shared" si="9"/>
        <v>-1</v>
      </c>
      <c r="AB29" s="13">
        <f t="shared" si="9"/>
        <v>-1</v>
      </c>
      <c r="AC29" s="13">
        <f t="shared" si="9"/>
        <v>0</v>
      </c>
      <c r="AD29" s="13">
        <f t="shared" si="9"/>
        <v>0</v>
      </c>
      <c r="AE29" s="13">
        <f t="shared" si="9"/>
        <v>0</v>
      </c>
      <c r="AJ29" s="13">
        <v>1</v>
      </c>
      <c r="AK29" s="13">
        <v>2</v>
      </c>
      <c r="AL29" s="13">
        <v>1</v>
      </c>
      <c r="AM29" s="12" cm="1">
        <f t="array" ref="AM29:AM31">TRANSPOSE(AN28:AP28)</f>
        <v>0.16579523132124779</v>
      </c>
      <c r="AN29" s="13">
        <f t="array" ref="AN29:AP31">MMULT(AM29:AM31,AN28:AP28)</f>
        <v>2.7488058728866064E-2</v>
      </c>
      <c r="AO29" s="13">
        <v>0.11023787943830272</v>
      </c>
      <c r="AP29" s="13">
        <v>2.7488058728866064E-2</v>
      </c>
    </row>
    <row r="30" spans="1:45" x14ac:dyDescent="0.3">
      <c r="A30" s="14">
        <v>9</v>
      </c>
      <c r="C30" s="13">
        <f t="shared" si="10"/>
        <v>1</v>
      </c>
      <c r="D30" s="13">
        <f t="shared" si="10"/>
        <v>0</v>
      </c>
      <c r="E30" s="13">
        <f t="shared" si="10"/>
        <v>84</v>
      </c>
      <c r="F30" s="13">
        <f t="shared" si="10"/>
        <v>85</v>
      </c>
      <c r="G30" s="13">
        <f t="shared" si="10"/>
        <v>0</v>
      </c>
      <c r="H30" s="13">
        <f t="shared" si="10"/>
        <v>0</v>
      </c>
      <c r="I30" s="13">
        <f t="shared" si="10"/>
        <v>0</v>
      </c>
      <c r="J30" s="13">
        <f t="shared" si="10"/>
        <v>0</v>
      </c>
      <c r="K30" s="13">
        <f t="shared" si="10"/>
        <v>-79</v>
      </c>
      <c r="L30" s="13">
        <f t="shared" si="10"/>
        <v>-78</v>
      </c>
      <c r="M30" s="13">
        <f t="shared" si="10"/>
        <v>1</v>
      </c>
      <c r="N30" s="13">
        <f t="shared" si="10"/>
        <v>0</v>
      </c>
      <c r="O30" s="13">
        <f t="shared" si="10"/>
        <v>-1</v>
      </c>
      <c r="Q30" s="14">
        <v>9</v>
      </c>
      <c r="S30" s="13">
        <f t="shared" si="11"/>
        <v>1</v>
      </c>
      <c r="T30" s="13">
        <f t="shared" si="9"/>
        <v>0</v>
      </c>
      <c r="U30" s="13">
        <f t="shared" si="9"/>
        <v>-2</v>
      </c>
      <c r="V30" s="13">
        <f t="shared" si="9"/>
        <v>-61</v>
      </c>
      <c r="W30" s="13">
        <f t="shared" si="9"/>
        <v>-64</v>
      </c>
      <c r="X30" s="13">
        <f t="shared" si="9"/>
        <v>-64</v>
      </c>
      <c r="Y30" s="13">
        <f t="shared" si="9"/>
        <v>-62</v>
      </c>
      <c r="Z30" s="13">
        <f t="shared" si="9"/>
        <v>-64</v>
      </c>
      <c r="AA30" s="13">
        <f t="shared" si="9"/>
        <v>-62</v>
      </c>
      <c r="AB30" s="13">
        <f t="shared" si="9"/>
        <v>-2</v>
      </c>
      <c r="AC30" s="13">
        <f t="shared" si="9"/>
        <v>0</v>
      </c>
      <c r="AD30" s="13">
        <f t="shared" si="9"/>
        <v>1</v>
      </c>
      <c r="AE30" s="13">
        <f t="shared" si="9"/>
        <v>1</v>
      </c>
      <c r="AJ30" s="13">
        <v>2</v>
      </c>
      <c r="AK30" s="13">
        <v>4</v>
      </c>
      <c r="AL30" s="13">
        <v>2</v>
      </c>
      <c r="AM30" s="12">
        <v>0.66490380066905452</v>
      </c>
      <c r="AN30" s="13">
        <v>0.11023787943830272</v>
      </c>
      <c r="AO30" s="13">
        <v>0.44209706414415378</v>
      </c>
      <c r="AP30" s="13">
        <v>0.11023787943830272</v>
      </c>
    </row>
    <row r="31" spans="1:45" x14ac:dyDescent="0.3">
      <c r="A31" s="14">
        <v>10</v>
      </c>
      <c r="C31" s="13">
        <f t="shared" si="10"/>
        <v>0</v>
      </c>
      <c r="D31" s="13">
        <f t="shared" si="10"/>
        <v>1</v>
      </c>
      <c r="E31" s="13">
        <f t="shared" si="10"/>
        <v>27</v>
      </c>
      <c r="F31" s="13">
        <f t="shared" si="10"/>
        <v>25</v>
      </c>
      <c r="G31" s="13">
        <f t="shared" si="10"/>
        <v>0</v>
      </c>
      <c r="H31" s="13">
        <f t="shared" si="10"/>
        <v>0</v>
      </c>
      <c r="I31" s="13">
        <f t="shared" si="10"/>
        <v>0</v>
      </c>
      <c r="J31" s="13">
        <f t="shared" si="10"/>
        <v>0</v>
      </c>
      <c r="K31" s="13">
        <f t="shared" si="10"/>
        <v>-20</v>
      </c>
      <c r="L31" s="13">
        <f t="shared" si="10"/>
        <v>-19</v>
      </c>
      <c r="M31" s="13">
        <f t="shared" si="10"/>
        <v>1</v>
      </c>
      <c r="N31" s="13">
        <f t="shared" si="10"/>
        <v>0</v>
      </c>
      <c r="O31" s="13">
        <f t="shared" si="10"/>
        <v>0</v>
      </c>
      <c r="Q31" s="14">
        <v>10</v>
      </c>
      <c r="S31" s="13">
        <f t="shared" si="11"/>
        <v>-1</v>
      </c>
      <c r="T31" s="13">
        <f t="shared" si="9"/>
        <v>-1</v>
      </c>
      <c r="U31" s="13">
        <f t="shared" si="9"/>
        <v>19</v>
      </c>
      <c r="V31" s="13">
        <f t="shared" si="9"/>
        <v>-60</v>
      </c>
      <c r="W31" s="13">
        <f t="shared" si="9"/>
        <v>-63</v>
      </c>
      <c r="X31" s="13">
        <f t="shared" si="9"/>
        <v>-63</v>
      </c>
      <c r="Y31" s="13">
        <f t="shared" si="9"/>
        <v>-64</v>
      </c>
      <c r="Z31" s="13">
        <f t="shared" si="9"/>
        <v>-63</v>
      </c>
      <c r="AA31" s="13">
        <f t="shared" si="9"/>
        <v>-59</v>
      </c>
      <c r="AB31" s="13">
        <f t="shared" si="9"/>
        <v>-1</v>
      </c>
      <c r="AC31" s="13">
        <f t="shared" si="9"/>
        <v>0</v>
      </c>
      <c r="AD31" s="13">
        <f t="shared" si="9"/>
        <v>-1</v>
      </c>
      <c r="AE31" s="13">
        <f t="shared" si="9"/>
        <v>0</v>
      </c>
      <c r="AJ31" s="13">
        <v>1</v>
      </c>
      <c r="AK31" s="13">
        <v>2</v>
      </c>
      <c r="AL31" s="13">
        <v>1</v>
      </c>
      <c r="AM31" s="12">
        <v>0.16579523132124779</v>
      </c>
      <c r="AN31" s="13">
        <v>2.7488058728866064E-2</v>
      </c>
      <c r="AO31" s="13">
        <v>0.11023787943830272</v>
      </c>
      <c r="AP31" s="13">
        <v>2.7488058728866064E-2</v>
      </c>
    </row>
    <row r="32" spans="1:45" x14ac:dyDescent="0.3">
      <c r="A32" s="14">
        <v>11</v>
      </c>
      <c r="C32" s="13">
        <f t="shared" si="10"/>
        <v>1</v>
      </c>
      <c r="D32" s="13">
        <f t="shared" si="10"/>
        <v>24</v>
      </c>
      <c r="E32" s="13">
        <f t="shared" si="10"/>
        <v>24</v>
      </c>
      <c r="F32" s="13">
        <f t="shared" si="10"/>
        <v>1</v>
      </c>
      <c r="G32" s="13">
        <f t="shared" si="10"/>
        <v>0</v>
      </c>
      <c r="H32" s="13">
        <f t="shared" si="10"/>
        <v>0</v>
      </c>
      <c r="I32" s="13">
        <f t="shared" si="10"/>
        <v>0</v>
      </c>
      <c r="J32" s="13">
        <f t="shared" si="10"/>
        <v>1</v>
      </c>
      <c r="K32" s="13">
        <f t="shared" si="10"/>
        <v>-17</v>
      </c>
      <c r="L32" s="13">
        <f t="shared" si="10"/>
        <v>-18</v>
      </c>
      <c r="M32" s="13">
        <f t="shared" si="10"/>
        <v>-1</v>
      </c>
      <c r="N32" s="13">
        <f t="shared" si="10"/>
        <v>0</v>
      </c>
      <c r="O32" s="13">
        <f t="shared" si="10"/>
        <v>0</v>
      </c>
      <c r="Q32" s="14">
        <v>11</v>
      </c>
      <c r="S32" s="13">
        <f t="shared" si="11"/>
        <v>0</v>
      </c>
      <c r="T32" s="13">
        <f t="shared" si="9"/>
        <v>24</v>
      </c>
      <c r="U32" s="13">
        <f t="shared" si="9"/>
        <v>23</v>
      </c>
      <c r="V32" s="13">
        <f t="shared" si="9"/>
        <v>2</v>
      </c>
      <c r="W32" s="13">
        <f t="shared" si="9"/>
        <v>1</v>
      </c>
      <c r="X32" s="13">
        <f t="shared" si="9"/>
        <v>0</v>
      </c>
      <c r="Y32" s="13">
        <f t="shared" si="9"/>
        <v>0</v>
      </c>
      <c r="Z32" s="13">
        <f t="shared" si="9"/>
        <v>0</v>
      </c>
      <c r="AA32" s="13">
        <f t="shared" si="9"/>
        <v>0</v>
      </c>
      <c r="AB32" s="13">
        <f t="shared" si="9"/>
        <v>0</v>
      </c>
      <c r="AC32" s="13">
        <f t="shared" si="9"/>
        <v>0</v>
      </c>
      <c r="AD32" s="13">
        <f t="shared" si="9"/>
        <v>0</v>
      </c>
      <c r="AE32" s="13">
        <f t="shared" si="9"/>
        <v>0</v>
      </c>
      <c r="AQ32" s="12">
        <f>SUM(AN29:AP31)</f>
        <v>0.99300081681282903</v>
      </c>
    </row>
    <row r="33" spans="1:47" x14ac:dyDescent="0.3">
      <c r="A33" s="14">
        <v>12</v>
      </c>
      <c r="C33" s="13">
        <f t="shared" si="10"/>
        <v>24</v>
      </c>
      <c r="D33" s="13">
        <f t="shared" si="10"/>
        <v>25</v>
      </c>
      <c r="E33" s="13">
        <f t="shared" si="10"/>
        <v>1</v>
      </c>
      <c r="F33" s="13">
        <f t="shared" si="10"/>
        <v>0</v>
      </c>
      <c r="G33" s="13">
        <f t="shared" si="10"/>
        <v>-2</v>
      </c>
      <c r="H33" s="13">
        <f t="shared" si="10"/>
        <v>0</v>
      </c>
      <c r="I33" s="13">
        <f t="shared" si="10"/>
        <v>0</v>
      </c>
      <c r="J33" s="13">
        <f t="shared" si="10"/>
        <v>-1</v>
      </c>
      <c r="K33" s="13">
        <f t="shared" si="10"/>
        <v>-18</v>
      </c>
      <c r="L33" s="13">
        <f t="shared" si="10"/>
        <v>-16</v>
      </c>
      <c r="M33" s="13">
        <f t="shared" si="10"/>
        <v>1</v>
      </c>
      <c r="N33" s="13">
        <f t="shared" si="10"/>
        <v>0</v>
      </c>
      <c r="O33" s="13">
        <f t="shared" si="10"/>
        <v>0</v>
      </c>
      <c r="Q33" s="14">
        <v>12</v>
      </c>
      <c r="S33" s="13">
        <f t="shared" si="11"/>
        <v>2</v>
      </c>
      <c r="T33" s="13">
        <f t="shared" si="9"/>
        <v>24</v>
      </c>
      <c r="U33" s="13">
        <f t="shared" si="9"/>
        <v>2</v>
      </c>
      <c r="V33" s="13">
        <f t="shared" si="9"/>
        <v>2</v>
      </c>
      <c r="W33" s="13">
        <f t="shared" si="9"/>
        <v>1</v>
      </c>
      <c r="X33" s="13">
        <f t="shared" si="9"/>
        <v>0</v>
      </c>
      <c r="Y33" s="13">
        <f t="shared" si="9"/>
        <v>1</v>
      </c>
      <c r="Z33" s="13">
        <f t="shared" si="9"/>
        <v>0</v>
      </c>
      <c r="AA33" s="13">
        <f t="shared" si="9"/>
        <v>-1</v>
      </c>
      <c r="AB33" s="13">
        <f t="shared" si="9"/>
        <v>-1</v>
      </c>
      <c r="AC33" s="13">
        <f t="shared" si="9"/>
        <v>0</v>
      </c>
      <c r="AD33" s="13">
        <f t="shared" si="9"/>
        <v>0</v>
      </c>
      <c r="AE33" s="13">
        <f t="shared" si="9"/>
        <v>0</v>
      </c>
    </row>
    <row r="34" spans="1:47" x14ac:dyDescent="0.3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J34" s="12">
        <f>1/16</f>
        <v>6.25E-2</v>
      </c>
    </row>
    <row r="37" spans="1:47" x14ac:dyDescent="0.3">
      <c r="G37" s="12" t="s">
        <v>7</v>
      </c>
      <c r="W37" s="12" t="s">
        <v>9</v>
      </c>
      <c r="AK37" s="12" t="s">
        <v>10</v>
      </c>
    </row>
    <row r="38" spans="1:47" x14ac:dyDescent="0.3">
      <c r="C38" s="14">
        <v>0</v>
      </c>
      <c r="D38" s="14">
        <v>1</v>
      </c>
      <c r="E38" s="14">
        <v>2</v>
      </c>
      <c r="F38" s="14">
        <v>3</v>
      </c>
      <c r="G38" s="14">
        <v>4</v>
      </c>
      <c r="H38" s="14">
        <v>5</v>
      </c>
      <c r="I38" s="14">
        <v>6</v>
      </c>
      <c r="J38" s="14">
        <v>7</v>
      </c>
      <c r="K38" s="14">
        <v>8</v>
      </c>
      <c r="L38" s="14">
        <v>9</v>
      </c>
      <c r="M38" s="14">
        <v>10</v>
      </c>
      <c r="N38" s="14">
        <v>11</v>
      </c>
      <c r="O38" s="14">
        <v>12</v>
      </c>
      <c r="S38" s="14">
        <v>0</v>
      </c>
      <c r="T38" s="14">
        <v>1</v>
      </c>
      <c r="U38" s="14">
        <v>2</v>
      </c>
      <c r="V38" s="14">
        <v>3</v>
      </c>
      <c r="W38" s="14">
        <v>4</v>
      </c>
      <c r="X38" s="14">
        <v>5</v>
      </c>
      <c r="Y38" s="14">
        <v>6</v>
      </c>
      <c r="Z38" s="14">
        <v>7</v>
      </c>
      <c r="AA38" s="14">
        <v>8</v>
      </c>
      <c r="AB38" s="14">
        <v>9</v>
      </c>
      <c r="AC38" s="14">
        <v>10</v>
      </c>
      <c r="AD38" s="14">
        <v>11</v>
      </c>
      <c r="AE38" s="14">
        <v>12</v>
      </c>
      <c r="AI38" s="14">
        <v>0</v>
      </c>
      <c r="AJ38" s="14">
        <v>1</v>
      </c>
      <c r="AK38" s="14">
        <v>2</v>
      </c>
      <c r="AL38" s="14">
        <v>3</v>
      </c>
      <c r="AM38" s="14">
        <v>4</v>
      </c>
      <c r="AN38" s="14">
        <v>5</v>
      </c>
      <c r="AO38" s="14">
        <v>6</v>
      </c>
      <c r="AP38" s="14">
        <v>7</v>
      </c>
      <c r="AQ38" s="14">
        <v>8</v>
      </c>
      <c r="AR38" s="14">
        <v>9</v>
      </c>
      <c r="AS38" s="14">
        <v>10</v>
      </c>
      <c r="AT38" s="14">
        <v>11</v>
      </c>
      <c r="AU38" s="14">
        <v>12</v>
      </c>
    </row>
    <row r="40" spans="1:47" x14ac:dyDescent="0.3">
      <c r="A40" s="14">
        <v>0</v>
      </c>
      <c r="C40" s="13">
        <f>ROUND(C21^2,0)</f>
        <v>4</v>
      </c>
      <c r="D40" s="13">
        <f t="shared" ref="D40:O40" si="13">ROUND(D21^2,0)</f>
        <v>1</v>
      </c>
      <c r="E40" s="13">
        <f t="shared" si="13"/>
        <v>0</v>
      </c>
      <c r="F40" s="13">
        <f t="shared" si="13"/>
        <v>1</v>
      </c>
      <c r="G40" s="13">
        <f t="shared" si="13"/>
        <v>1</v>
      </c>
      <c r="H40" s="13">
        <f t="shared" si="13"/>
        <v>225</v>
      </c>
      <c r="I40" s="13">
        <f t="shared" si="13"/>
        <v>196</v>
      </c>
      <c r="J40" s="13">
        <f t="shared" si="13"/>
        <v>0</v>
      </c>
      <c r="K40" s="13">
        <f t="shared" si="13"/>
        <v>0</v>
      </c>
      <c r="L40" s="13">
        <f t="shared" si="13"/>
        <v>0</v>
      </c>
      <c r="M40" s="13">
        <f t="shared" si="13"/>
        <v>1</v>
      </c>
      <c r="N40" s="13">
        <f t="shared" si="13"/>
        <v>0</v>
      </c>
      <c r="O40" s="13">
        <f t="shared" si="13"/>
        <v>1</v>
      </c>
      <c r="Q40" s="14">
        <v>0</v>
      </c>
      <c r="S40" s="13">
        <f>ROUND(S21^2,0)</f>
        <v>1</v>
      </c>
      <c r="T40" s="13">
        <f t="shared" ref="T40:AE40" si="14">ROUND(T21^2,0)</f>
        <v>1</v>
      </c>
      <c r="U40" s="13">
        <f t="shared" si="14"/>
        <v>1</v>
      </c>
      <c r="V40" s="13">
        <f t="shared" si="14"/>
        <v>1</v>
      </c>
      <c r="W40" s="13">
        <f t="shared" si="14"/>
        <v>1</v>
      </c>
      <c r="X40" s="13">
        <f t="shared" si="14"/>
        <v>1</v>
      </c>
      <c r="Y40" s="13">
        <f t="shared" si="14"/>
        <v>0</v>
      </c>
      <c r="Z40" s="13">
        <f t="shared" si="14"/>
        <v>0</v>
      </c>
      <c r="AA40" s="13">
        <f t="shared" si="14"/>
        <v>0</v>
      </c>
      <c r="AB40" s="13">
        <f t="shared" si="14"/>
        <v>0</v>
      </c>
      <c r="AC40" s="13">
        <f t="shared" si="14"/>
        <v>0</v>
      </c>
      <c r="AD40" s="13">
        <f t="shared" si="14"/>
        <v>1</v>
      </c>
      <c r="AE40" s="13">
        <f t="shared" si="14"/>
        <v>0</v>
      </c>
      <c r="AG40" s="14">
        <v>0</v>
      </c>
      <c r="AI40" s="13">
        <f>ROUND(C21*S21,0)</f>
        <v>2</v>
      </c>
      <c r="AJ40" s="13">
        <f t="shared" ref="AJ40:AU52" si="15">ROUND(D21*T21,0)</f>
        <v>-1</v>
      </c>
      <c r="AK40" s="13">
        <f t="shared" si="15"/>
        <v>0</v>
      </c>
      <c r="AL40" s="13">
        <f t="shared" si="15"/>
        <v>1</v>
      </c>
      <c r="AM40" s="13">
        <f t="shared" si="15"/>
        <v>-1</v>
      </c>
      <c r="AN40" s="13">
        <f t="shared" si="15"/>
        <v>-15</v>
      </c>
      <c r="AO40" s="13">
        <f t="shared" si="15"/>
        <v>0</v>
      </c>
      <c r="AP40" s="13">
        <f t="shared" si="15"/>
        <v>0</v>
      </c>
      <c r="AQ40" s="13">
        <f t="shared" si="15"/>
        <v>0</v>
      </c>
      <c r="AR40" s="13">
        <f t="shared" si="15"/>
        <v>0</v>
      </c>
      <c r="AS40" s="13">
        <f t="shared" si="15"/>
        <v>0</v>
      </c>
      <c r="AT40" s="13">
        <f t="shared" si="15"/>
        <v>0</v>
      </c>
      <c r="AU40" s="13">
        <f t="shared" si="15"/>
        <v>0</v>
      </c>
    </row>
    <row r="41" spans="1:47" x14ac:dyDescent="0.3">
      <c r="A41" s="14">
        <v>1</v>
      </c>
      <c r="C41" s="13">
        <f t="shared" ref="C41:O41" si="16">ROUND(C22^2,0)</f>
        <v>0</v>
      </c>
      <c r="D41" s="13">
        <f t="shared" si="16"/>
        <v>0</v>
      </c>
      <c r="E41" s="13">
        <f t="shared" si="16"/>
        <v>0</v>
      </c>
      <c r="F41" s="13">
        <f t="shared" si="16"/>
        <v>0</v>
      </c>
      <c r="G41" s="13">
        <f t="shared" si="16"/>
        <v>9</v>
      </c>
      <c r="H41" s="13">
        <f t="shared" si="16"/>
        <v>225</v>
      </c>
      <c r="I41" s="13">
        <f t="shared" si="16"/>
        <v>324</v>
      </c>
      <c r="J41" s="13">
        <f t="shared" si="16"/>
        <v>0</v>
      </c>
      <c r="K41" s="13">
        <f t="shared" si="16"/>
        <v>0</v>
      </c>
      <c r="L41" s="13">
        <f t="shared" si="16"/>
        <v>0</v>
      </c>
      <c r="M41" s="13">
        <f t="shared" si="16"/>
        <v>0</v>
      </c>
      <c r="N41" s="13">
        <f t="shared" si="16"/>
        <v>0</v>
      </c>
      <c r="O41" s="13">
        <f t="shared" si="16"/>
        <v>0</v>
      </c>
      <c r="Q41" s="14">
        <v>1</v>
      </c>
      <c r="S41" s="13">
        <f t="shared" ref="S41:AE52" si="17">ROUND(S22^2,0)</f>
        <v>0</v>
      </c>
      <c r="T41" s="13">
        <f t="shared" si="17"/>
        <v>1</v>
      </c>
      <c r="U41" s="13">
        <f t="shared" si="17"/>
        <v>1</v>
      </c>
      <c r="V41" s="13">
        <f t="shared" si="17"/>
        <v>1</v>
      </c>
      <c r="W41" s="13">
        <f t="shared" si="17"/>
        <v>4</v>
      </c>
      <c r="X41" s="13">
        <f t="shared" si="17"/>
        <v>3721</v>
      </c>
      <c r="Y41" s="13">
        <f t="shared" si="17"/>
        <v>4</v>
      </c>
      <c r="Z41" s="13">
        <f t="shared" si="17"/>
        <v>0</v>
      </c>
      <c r="AA41" s="13">
        <f t="shared" si="17"/>
        <v>0</v>
      </c>
      <c r="AB41" s="13">
        <f t="shared" si="17"/>
        <v>0</v>
      </c>
      <c r="AC41" s="13">
        <f t="shared" si="17"/>
        <v>1</v>
      </c>
      <c r="AD41" s="13">
        <f t="shared" si="17"/>
        <v>1</v>
      </c>
      <c r="AE41" s="13">
        <f t="shared" si="17"/>
        <v>0</v>
      </c>
      <c r="AG41" s="14">
        <v>1</v>
      </c>
      <c r="AI41" s="13">
        <f t="shared" ref="AI41:AI52" si="18">ROUND(C22*S22,0)</f>
        <v>0</v>
      </c>
      <c r="AJ41" s="13">
        <f t="shared" si="15"/>
        <v>0</v>
      </c>
      <c r="AK41" s="13">
        <f t="shared" si="15"/>
        <v>0</v>
      </c>
      <c r="AL41" s="13">
        <f t="shared" si="15"/>
        <v>0</v>
      </c>
      <c r="AM41" s="13">
        <f t="shared" si="15"/>
        <v>6</v>
      </c>
      <c r="AN41" s="13">
        <f t="shared" si="15"/>
        <v>-915</v>
      </c>
      <c r="AO41" s="13">
        <f t="shared" si="15"/>
        <v>-36</v>
      </c>
      <c r="AP41" s="13">
        <f t="shared" si="15"/>
        <v>0</v>
      </c>
      <c r="AQ41" s="13">
        <f t="shared" si="15"/>
        <v>0</v>
      </c>
      <c r="AR41" s="13">
        <f t="shared" si="15"/>
        <v>0</v>
      </c>
      <c r="AS41" s="13">
        <f t="shared" si="15"/>
        <v>0</v>
      </c>
      <c r="AT41" s="13">
        <f t="shared" si="15"/>
        <v>0</v>
      </c>
      <c r="AU41" s="13">
        <f t="shared" si="15"/>
        <v>0</v>
      </c>
    </row>
    <row r="42" spans="1:47" x14ac:dyDescent="0.3">
      <c r="A42" s="14">
        <v>2</v>
      </c>
      <c r="C42" s="13">
        <f t="shared" ref="C42:O42" si="19">ROUND(C23^2,0)</f>
        <v>0</v>
      </c>
      <c r="D42" s="13">
        <f t="shared" si="19"/>
        <v>0</v>
      </c>
      <c r="E42" s="13">
        <f t="shared" si="19"/>
        <v>0</v>
      </c>
      <c r="F42" s="13">
        <f t="shared" si="19"/>
        <v>4</v>
      </c>
      <c r="G42" s="13">
        <f t="shared" si="19"/>
        <v>3969</v>
      </c>
      <c r="H42" s="13">
        <f t="shared" si="19"/>
        <v>196</v>
      </c>
      <c r="I42" s="13">
        <f t="shared" si="19"/>
        <v>5929</v>
      </c>
      <c r="J42" s="13">
        <f t="shared" si="19"/>
        <v>9</v>
      </c>
      <c r="K42" s="13">
        <f t="shared" si="19"/>
        <v>1</v>
      </c>
      <c r="L42" s="13">
        <f t="shared" si="19"/>
        <v>0</v>
      </c>
      <c r="M42" s="13">
        <f t="shared" si="19"/>
        <v>0</v>
      </c>
      <c r="N42" s="13">
        <f t="shared" si="19"/>
        <v>1</v>
      </c>
      <c r="O42" s="13">
        <f t="shared" si="19"/>
        <v>0</v>
      </c>
      <c r="Q42" s="14">
        <v>2</v>
      </c>
      <c r="S42" s="13">
        <f t="shared" si="17"/>
        <v>1</v>
      </c>
      <c r="T42" s="13">
        <f t="shared" si="17"/>
        <v>1</v>
      </c>
      <c r="U42" s="13">
        <f t="shared" si="17"/>
        <v>0</v>
      </c>
      <c r="V42" s="13">
        <f t="shared" si="17"/>
        <v>4</v>
      </c>
      <c r="W42" s="13">
        <f t="shared" si="17"/>
        <v>3969</v>
      </c>
      <c r="X42" s="13">
        <f t="shared" si="17"/>
        <v>4356</v>
      </c>
      <c r="Y42" s="13">
        <f t="shared" si="17"/>
        <v>5929</v>
      </c>
      <c r="Z42" s="13">
        <f t="shared" si="17"/>
        <v>9</v>
      </c>
      <c r="AA42" s="13">
        <f t="shared" si="17"/>
        <v>0</v>
      </c>
      <c r="AB42" s="13">
        <f t="shared" si="17"/>
        <v>0</v>
      </c>
      <c r="AC42" s="13">
        <f t="shared" si="17"/>
        <v>0</v>
      </c>
      <c r="AD42" s="13">
        <f t="shared" si="17"/>
        <v>1</v>
      </c>
      <c r="AE42" s="13">
        <f t="shared" si="17"/>
        <v>0</v>
      </c>
      <c r="AG42" s="14">
        <v>2</v>
      </c>
      <c r="AI42" s="13">
        <f t="shared" si="18"/>
        <v>0</v>
      </c>
      <c r="AJ42" s="13">
        <f t="shared" si="15"/>
        <v>0</v>
      </c>
      <c r="AK42" s="13">
        <f t="shared" si="15"/>
        <v>0</v>
      </c>
      <c r="AL42" s="13">
        <f t="shared" si="15"/>
        <v>4</v>
      </c>
      <c r="AM42" s="13">
        <f t="shared" si="15"/>
        <v>3969</v>
      </c>
      <c r="AN42" s="13">
        <f t="shared" si="15"/>
        <v>-924</v>
      </c>
      <c r="AO42" s="13">
        <f t="shared" si="15"/>
        <v>-5929</v>
      </c>
      <c r="AP42" s="13">
        <f t="shared" si="15"/>
        <v>-9</v>
      </c>
      <c r="AQ42" s="13">
        <f t="shared" si="15"/>
        <v>0</v>
      </c>
      <c r="AR42" s="13">
        <f t="shared" si="15"/>
        <v>0</v>
      </c>
      <c r="AS42" s="13">
        <f t="shared" si="15"/>
        <v>0</v>
      </c>
      <c r="AT42" s="13">
        <f t="shared" si="15"/>
        <v>1</v>
      </c>
      <c r="AU42" s="13">
        <f t="shared" si="15"/>
        <v>0</v>
      </c>
    </row>
    <row r="43" spans="1:47" x14ac:dyDescent="0.3">
      <c r="A43" s="14">
        <v>3</v>
      </c>
      <c r="C43" s="13">
        <f t="shared" ref="C43:O43" si="20">ROUND(C24^2,0)</f>
        <v>4</v>
      </c>
      <c r="D43" s="13">
        <f t="shared" si="20"/>
        <v>1</v>
      </c>
      <c r="E43" s="13">
        <f t="shared" si="20"/>
        <v>1</v>
      </c>
      <c r="F43" s="13">
        <f t="shared" si="20"/>
        <v>3969</v>
      </c>
      <c r="G43" s="13">
        <f t="shared" si="20"/>
        <v>3969</v>
      </c>
      <c r="H43" s="13">
        <f t="shared" si="20"/>
        <v>1</v>
      </c>
      <c r="I43" s="13">
        <f t="shared" si="20"/>
        <v>6084</v>
      </c>
      <c r="J43" s="13">
        <f t="shared" si="20"/>
        <v>5476</v>
      </c>
      <c r="K43" s="13">
        <f t="shared" si="20"/>
        <v>4</v>
      </c>
      <c r="L43" s="13">
        <f t="shared" si="20"/>
        <v>9</v>
      </c>
      <c r="M43" s="13">
        <f t="shared" si="20"/>
        <v>0</v>
      </c>
      <c r="N43" s="13">
        <f t="shared" si="20"/>
        <v>0</v>
      </c>
      <c r="O43" s="13">
        <f t="shared" si="20"/>
        <v>0</v>
      </c>
      <c r="Q43" s="14">
        <v>3</v>
      </c>
      <c r="S43" s="13">
        <f t="shared" si="17"/>
        <v>0</v>
      </c>
      <c r="T43" s="13">
        <f t="shared" si="17"/>
        <v>1</v>
      </c>
      <c r="U43" s="13">
        <f t="shared" si="17"/>
        <v>4</v>
      </c>
      <c r="V43" s="13">
        <f t="shared" si="17"/>
        <v>3969</v>
      </c>
      <c r="W43" s="13">
        <f t="shared" si="17"/>
        <v>4096</v>
      </c>
      <c r="X43" s="13">
        <f t="shared" si="17"/>
        <v>49</v>
      </c>
      <c r="Y43" s="13">
        <f t="shared" si="17"/>
        <v>6400</v>
      </c>
      <c r="Z43" s="13">
        <f t="shared" si="17"/>
        <v>6561</v>
      </c>
      <c r="AA43" s="13">
        <f t="shared" si="17"/>
        <v>6241</v>
      </c>
      <c r="AB43" s="13">
        <f t="shared" si="17"/>
        <v>16</v>
      </c>
      <c r="AC43" s="13">
        <f t="shared" si="17"/>
        <v>0</v>
      </c>
      <c r="AD43" s="13">
        <f t="shared" si="17"/>
        <v>0</v>
      </c>
      <c r="AE43" s="13">
        <f t="shared" si="17"/>
        <v>0</v>
      </c>
      <c r="AG43" s="14">
        <v>3</v>
      </c>
      <c r="AI43" s="13">
        <f t="shared" si="18"/>
        <v>0</v>
      </c>
      <c r="AJ43" s="13">
        <f t="shared" si="15"/>
        <v>-1</v>
      </c>
      <c r="AK43" s="13">
        <f t="shared" si="15"/>
        <v>2</v>
      </c>
      <c r="AL43" s="13">
        <f t="shared" si="15"/>
        <v>3969</v>
      </c>
      <c r="AM43" s="13">
        <f t="shared" si="15"/>
        <v>4032</v>
      </c>
      <c r="AN43" s="13">
        <f t="shared" si="15"/>
        <v>-7</v>
      </c>
      <c r="AO43" s="13">
        <f t="shared" si="15"/>
        <v>-6240</v>
      </c>
      <c r="AP43" s="13">
        <f t="shared" si="15"/>
        <v>-5994</v>
      </c>
      <c r="AQ43" s="13">
        <f t="shared" si="15"/>
        <v>-158</v>
      </c>
      <c r="AR43" s="13">
        <f t="shared" si="15"/>
        <v>-12</v>
      </c>
      <c r="AS43" s="13">
        <f t="shared" si="15"/>
        <v>0</v>
      </c>
      <c r="AT43" s="13">
        <f t="shared" si="15"/>
        <v>0</v>
      </c>
      <c r="AU43" s="13">
        <f t="shared" si="15"/>
        <v>0</v>
      </c>
    </row>
    <row r="44" spans="1:47" x14ac:dyDescent="0.3">
      <c r="A44" s="14">
        <v>4</v>
      </c>
      <c r="C44" s="13">
        <f t="shared" ref="C44:O44" si="21">ROUND(C25^2,0)</f>
        <v>1</v>
      </c>
      <c r="D44" s="13">
        <f t="shared" si="21"/>
        <v>1</v>
      </c>
      <c r="E44" s="13">
        <f t="shared" si="21"/>
        <v>4225</v>
      </c>
      <c r="F44" s="13">
        <f t="shared" si="21"/>
        <v>4489</v>
      </c>
      <c r="G44" s="13">
        <f t="shared" si="21"/>
        <v>9</v>
      </c>
      <c r="H44" s="13">
        <f t="shared" si="21"/>
        <v>1</v>
      </c>
      <c r="I44" s="13">
        <f t="shared" si="21"/>
        <v>16</v>
      </c>
      <c r="J44" s="13">
        <f t="shared" si="21"/>
        <v>16</v>
      </c>
      <c r="K44" s="13">
        <f t="shared" si="21"/>
        <v>6084</v>
      </c>
      <c r="L44" s="13">
        <f t="shared" si="21"/>
        <v>6400</v>
      </c>
      <c r="M44" s="13">
        <f t="shared" si="21"/>
        <v>0</v>
      </c>
      <c r="N44" s="13">
        <f t="shared" si="21"/>
        <v>1</v>
      </c>
      <c r="O44" s="13">
        <f t="shared" si="21"/>
        <v>0</v>
      </c>
      <c r="Q44" s="14">
        <v>4</v>
      </c>
      <c r="S44" s="13">
        <f t="shared" si="17"/>
        <v>484</v>
      </c>
      <c r="T44" s="13">
        <f t="shared" si="17"/>
        <v>529</v>
      </c>
      <c r="U44" s="13">
        <f t="shared" si="17"/>
        <v>400</v>
      </c>
      <c r="V44" s="13">
        <f t="shared" si="17"/>
        <v>3600</v>
      </c>
      <c r="W44" s="13">
        <f t="shared" si="17"/>
        <v>0</v>
      </c>
      <c r="X44" s="13">
        <f t="shared" si="17"/>
        <v>0</v>
      </c>
      <c r="Y44" s="13">
        <f t="shared" si="17"/>
        <v>9</v>
      </c>
      <c r="Z44" s="13">
        <f t="shared" si="17"/>
        <v>6241</v>
      </c>
      <c r="AA44" s="13">
        <f t="shared" si="17"/>
        <v>5929</v>
      </c>
      <c r="AB44" s="13">
        <f t="shared" si="17"/>
        <v>1</v>
      </c>
      <c r="AC44" s="13">
        <f t="shared" si="17"/>
        <v>0</v>
      </c>
      <c r="AD44" s="13">
        <f t="shared" si="17"/>
        <v>0</v>
      </c>
      <c r="AE44" s="13">
        <f t="shared" si="17"/>
        <v>0</v>
      </c>
      <c r="AG44" s="14">
        <v>4</v>
      </c>
      <c r="AI44" s="13">
        <f t="shared" si="18"/>
        <v>22</v>
      </c>
      <c r="AJ44" s="13">
        <f t="shared" si="15"/>
        <v>23</v>
      </c>
      <c r="AK44" s="13">
        <f t="shared" si="15"/>
        <v>-1300</v>
      </c>
      <c r="AL44" s="13">
        <f t="shared" si="15"/>
        <v>4020</v>
      </c>
      <c r="AM44" s="13">
        <f t="shared" si="15"/>
        <v>0</v>
      </c>
      <c r="AN44" s="13">
        <f t="shared" si="15"/>
        <v>0</v>
      </c>
      <c r="AO44" s="13">
        <f t="shared" si="15"/>
        <v>-12</v>
      </c>
      <c r="AP44" s="13">
        <f t="shared" si="15"/>
        <v>-316</v>
      </c>
      <c r="AQ44" s="13">
        <f t="shared" si="15"/>
        <v>-6006</v>
      </c>
      <c r="AR44" s="13">
        <f t="shared" si="15"/>
        <v>-80</v>
      </c>
      <c r="AS44" s="13">
        <f t="shared" si="15"/>
        <v>0</v>
      </c>
      <c r="AT44" s="13">
        <f t="shared" si="15"/>
        <v>0</v>
      </c>
      <c r="AU44" s="13">
        <f t="shared" si="15"/>
        <v>0</v>
      </c>
    </row>
    <row r="45" spans="1:47" x14ac:dyDescent="0.3">
      <c r="A45" s="14">
        <v>5</v>
      </c>
      <c r="C45" s="13">
        <f t="shared" ref="C45:O45" si="22">ROUND(C26^2,0)</f>
        <v>1</v>
      </c>
      <c r="D45" s="13">
        <f t="shared" si="22"/>
        <v>0</v>
      </c>
      <c r="E45" s="13">
        <f t="shared" si="22"/>
        <v>7569</v>
      </c>
      <c r="F45" s="13">
        <f t="shared" si="22"/>
        <v>7569</v>
      </c>
      <c r="G45" s="13">
        <f t="shared" si="22"/>
        <v>0</v>
      </c>
      <c r="H45" s="13">
        <f t="shared" si="22"/>
        <v>0</v>
      </c>
      <c r="I45" s="13">
        <f t="shared" si="22"/>
        <v>0</v>
      </c>
      <c r="J45" s="13">
        <f t="shared" si="22"/>
        <v>0</v>
      </c>
      <c r="K45" s="13">
        <f t="shared" si="22"/>
        <v>6889</v>
      </c>
      <c r="L45" s="13">
        <f t="shared" si="22"/>
        <v>6561</v>
      </c>
      <c r="M45" s="13">
        <f t="shared" si="22"/>
        <v>0</v>
      </c>
      <c r="N45" s="13">
        <f t="shared" si="22"/>
        <v>1</v>
      </c>
      <c r="O45" s="13">
        <f t="shared" si="22"/>
        <v>0</v>
      </c>
      <c r="Q45" s="14">
        <v>5</v>
      </c>
      <c r="S45" s="13">
        <f t="shared" si="17"/>
        <v>484</v>
      </c>
      <c r="T45" s="13">
        <f t="shared" si="17"/>
        <v>441</v>
      </c>
      <c r="U45" s="13">
        <f t="shared" si="17"/>
        <v>400</v>
      </c>
      <c r="V45" s="13">
        <f t="shared" si="17"/>
        <v>0</v>
      </c>
      <c r="W45" s="13">
        <f t="shared" si="17"/>
        <v>0</v>
      </c>
      <c r="X45" s="13">
        <f t="shared" si="17"/>
        <v>0</v>
      </c>
      <c r="Y45" s="13">
        <f t="shared" si="17"/>
        <v>4</v>
      </c>
      <c r="Z45" s="13">
        <f t="shared" si="17"/>
        <v>1</v>
      </c>
      <c r="AA45" s="13">
        <f t="shared" si="17"/>
        <v>0</v>
      </c>
      <c r="AB45" s="13">
        <f t="shared" si="17"/>
        <v>1</v>
      </c>
      <c r="AC45" s="13">
        <f t="shared" si="17"/>
        <v>0</v>
      </c>
      <c r="AD45" s="13">
        <f t="shared" si="17"/>
        <v>0</v>
      </c>
      <c r="AE45" s="13">
        <f t="shared" si="17"/>
        <v>0</v>
      </c>
      <c r="AG45" s="14">
        <v>5</v>
      </c>
      <c r="AI45" s="13">
        <f t="shared" si="18"/>
        <v>-22</v>
      </c>
      <c r="AJ45" s="13">
        <f t="shared" si="15"/>
        <v>0</v>
      </c>
      <c r="AK45" s="13">
        <f t="shared" si="15"/>
        <v>-1740</v>
      </c>
      <c r="AL45" s="13">
        <f t="shared" si="15"/>
        <v>0</v>
      </c>
      <c r="AM45" s="13">
        <f t="shared" si="15"/>
        <v>0</v>
      </c>
      <c r="AN45" s="13">
        <f t="shared" si="15"/>
        <v>0</v>
      </c>
      <c r="AO45" s="13">
        <f t="shared" si="15"/>
        <v>0</v>
      </c>
      <c r="AP45" s="13">
        <f t="shared" si="15"/>
        <v>0</v>
      </c>
      <c r="AQ45" s="13">
        <f t="shared" si="15"/>
        <v>0</v>
      </c>
      <c r="AR45" s="13">
        <f t="shared" si="15"/>
        <v>81</v>
      </c>
      <c r="AS45" s="13">
        <f t="shared" si="15"/>
        <v>0</v>
      </c>
      <c r="AT45" s="13">
        <f t="shared" si="15"/>
        <v>0</v>
      </c>
      <c r="AU45" s="13">
        <f t="shared" si="15"/>
        <v>0</v>
      </c>
    </row>
    <row r="46" spans="1:47" x14ac:dyDescent="0.3">
      <c r="A46" s="14">
        <v>6</v>
      </c>
      <c r="C46" s="13">
        <f t="shared" ref="C46:O46" si="23">ROUND(C27^2,0)</f>
        <v>0</v>
      </c>
      <c r="D46" s="13">
        <f t="shared" si="23"/>
        <v>0</v>
      </c>
      <c r="E46" s="13">
        <f t="shared" si="23"/>
        <v>7921</v>
      </c>
      <c r="F46" s="13">
        <f t="shared" si="23"/>
        <v>7744</v>
      </c>
      <c r="G46" s="13">
        <f t="shared" si="23"/>
        <v>0</v>
      </c>
      <c r="H46" s="13">
        <f t="shared" si="23"/>
        <v>0</v>
      </c>
      <c r="I46" s="13">
        <f t="shared" si="23"/>
        <v>0</v>
      </c>
      <c r="J46" s="13">
        <f t="shared" si="23"/>
        <v>1</v>
      </c>
      <c r="K46" s="13">
        <f t="shared" si="23"/>
        <v>7056</v>
      </c>
      <c r="L46" s="13">
        <f t="shared" si="23"/>
        <v>6889</v>
      </c>
      <c r="M46" s="13">
        <f t="shared" si="23"/>
        <v>1</v>
      </c>
      <c r="N46" s="13">
        <f t="shared" si="23"/>
        <v>0</v>
      </c>
      <c r="O46" s="13">
        <f t="shared" si="23"/>
        <v>0</v>
      </c>
      <c r="Q46" s="14">
        <v>6</v>
      </c>
      <c r="S46" s="13">
        <f t="shared" si="17"/>
        <v>0</v>
      </c>
      <c r="T46" s="13">
        <f t="shared" si="17"/>
        <v>0</v>
      </c>
      <c r="U46" s="13">
        <f t="shared" si="17"/>
        <v>0</v>
      </c>
      <c r="V46" s="13">
        <f t="shared" si="17"/>
        <v>1</v>
      </c>
      <c r="W46" s="13">
        <f t="shared" si="17"/>
        <v>1</v>
      </c>
      <c r="X46" s="13">
        <f t="shared" si="17"/>
        <v>0</v>
      </c>
      <c r="Y46" s="13">
        <f t="shared" si="17"/>
        <v>0</v>
      </c>
      <c r="Z46" s="13">
        <f t="shared" si="17"/>
        <v>0</v>
      </c>
      <c r="AA46" s="13">
        <f t="shared" si="17"/>
        <v>1</v>
      </c>
      <c r="AB46" s="13">
        <f t="shared" si="17"/>
        <v>0</v>
      </c>
      <c r="AC46" s="13">
        <f t="shared" si="17"/>
        <v>1</v>
      </c>
      <c r="AD46" s="13">
        <f t="shared" si="17"/>
        <v>0</v>
      </c>
      <c r="AE46" s="13">
        <f t="shared" si="17"/>
        <v>1</v>
      </c>
      <c r="AG46" s="14">
        <v>6</v>
      </c>
      <c r="AI46" s="13">
        <f t="shared" si="18"/>
        <v>0</v>
      </c>
      <c r="AJ46" s="13">
        <f t="shared" si="15"/>
        <v>0</v>
      </c>
      <c r="AK46" s="13">
        <f t="shared" si="15"/>
        <v>0</v>
      </c>
      <c r="AL46" s="13">
        <f t="shared" si="15"/>
        <v>88</v>
      </c>
      <c r="AM46" s="13">
        <f t="shared" si="15"/>
        <v>0</v>
      </c>
      <c r="AN46" s="13">
        <f t="shared" si="15"/>
        <v>0</v>
      </c>
      <c r="AO46" s="13">
        <f t="shared" si="15"/>
        <v>0</v>
      </c>
      <c r="AP46" s="13">
        <f t="shared" si="15"/>
        <v>0</v>
      </c>
      <c r="AQ46" s="13">
        <f t="shared" si="15"/>
        <v>-84</v>
      </c>
      <c r="AR46" s="13">
        <f t="shared" si="15"/>
        <v>0</v>
      </c>
      <c r="AS46" s="13">
        <f t="shared" si="15"/>
        <v>1</v>
      </c>
      <c r="AT46" s="13">
        <f t="shared" si="15"/>
        <v>0</v>
      </c>
      <c r="AU46" s="13">
        <f t="shared" si="15"/>
        <v>0</v>
      </c>
    </row>
    <row r="47" spans="1:47" x14ac:dyDescent="0.3">
      <c r="A47" s="14">
        <v>7</v>
      </c>
      <c r="C47" s="13">
        <f t="shared" ref="C47:O47" si="24">ROUND(C28^2,0)</f>
        <v>1</v>
      </c>
      <c r="D47" s="13">
        <f t="shared" si="24"/>
        <v>0</v>
      </c>
      <c r="E47" s="13">
        <f t="shared" si="24"/>
        <v>7921</v>
      </c>
      <c r="F47" s="13">
        <f t="shared" si="24"/>
        <v>7921</v>
      </c>
      <c r="G47" s="13">
        <f t="shared" si="24"/>
        <v>0</v>
      </c>
      <c r="H47" s="13">
        <f t="shared" si="24"/>
        <v>1</v>
      </c>
      <c r="I47" s="13">
        <f t="shared" si="24"/>
        <v>0</v>
      </c>
      <c r="J47" s="13">
        <f t="shared" si="24"/>
        <v>1</v>
      </c>
      <c r="K47" s="13">
        <f t="shared" si="24"/>
        <v>6889</v>
      </c>
      <c r="L47" s="13">
        <f t="shared" si="24"/>
        <v>6724</v>
      </c>
      <c r="M47" s="13">
        <f t="shared" si="24"/>
        <v>0</v>
      </c>
      <c r="N47" s="13">
        <f t="shared" si="24"/>
        <v>1</v>
      </c>
      <c r="O47" s="13">
        <f t="shared" si="24"/>
        <v>1</v>
      </c>
      <c r="Q47" s="14">
        <v>7</v>
      </c>
      <c r="S47" s="13">
        <f t="shared" si="17"/>
        <v>0</v>
      </c>
      <c r="T47" s="13">
        <f t="shared" si="17"/>
        <v>0</v>
      </c>
      <c r="U47" s="13">
        <f t="shared" si="17"/>
        <v>0</v>
      </c>
      <c r="V47" s="13">
        <f t="shared" si="17"/>
        <v>0</v>
      </c>
      <c r="W47" s="13">
        <f t="shared" si="17"/>
        <v>0</v>
      </c>
      <c r="X47" s="13">
        <f t="shared" si="17"/>
        <v>0</v>
      </c>
      <c r="Y47" s="13">
        <f t="shared" si="17"/>
        <v>0</v>
      </c>
      <c r="Z47" s="13">
        <f t="shared" si="17"/>
        <v>4</v>
      </c>
      <c r="AA47" s="13">
        <f t="shared" si="17"/>
        <v>0</v>
      </c>
      <c r="AB47" s="13">
        <f t="shared" si="17"/>
        <v>0</v>
      </c>
      <c r="AC47" s="13">
        <f t="shared" si="17"/>
        <v>0</v>
      </c>
      <c r="AD47" s="13">
        <f t="shared" si="17"/>
        <v>0</v>
      </c>
      <c r="AE47" s="13">
        <f t="shared" si="17"/>
        <v>0</v>
      </c>
      <c r="AG47" s="14">
        <v>7</v>
      </c>
      <c r="AI47" s="13">
        <f t="shared" si="18"/>
        <v>0</v>
      </c>
      <c r="AJ47" s="13">
        <f t="shared" si="15"/>
        <v>0</v>
      </c>
      <c r="AK47" s="13">
        <f t="shared" si="15"/>
        <v>0</v>
      </c>
      <c r="AL47" s="13">
        <f t="shared" si="15"/>
        <v>0</v>
      </c>
      <c r="AM47" s="13">
        <f t="shared" si="15"/>
        <v>0</v>
      </c>
      <c r="AN47" s="13">
        <f t="shared" si="15"/>
        <v>0</v>
      </c>
      <c r="AO47" s="13">
        <f t="shared" si="15"/>
        <v>0</v>
      </c>
      <c r="AP47" s="13">
        <f t="shared" si="15"/>
        <v>-2</v>
      </c>
      <c r="AQ47" s="13">
        <f t="shared" si="15"/>
        <v>0</v>
      </c>
      <c r="AR47" s="13">
        <f t="shared" si="15"/>
        <v>0</v>
      </c>
      <c r="AS47" s="13">
        <f t="shared" si="15"/>
        <v>0</v>
      </c>
      <c r="AT47" s="13">
        <f t="shared" si="15"/>
        <v>0</v>
      </c>
      <c r="AU47" s="13">
        <f t="shared" si="15"/>
        <v>0</v>
      </c>
    </row>
    <row r="48" spans="1:47" x14ac:dyDescent="0.3">
      <c r="A48" s="14">
        <v>8</v>
      </c>
      <c r="C48" s="13">
        <f t="shared" ref="C48:O48" si="25">ROUND(C29^2,0)</f>
        <v>0</v>
      </c>
      <c r="D48" s="13">
        <f t="shared" si="25"/>
        <v>1</v>
      </c>
      <c r="E48" s="13">
        <f t="shared" si="25"/>
        <v>7744</v>
      </c>
      <c r="F48" s="13">
        <f t="shared" si="25"/>
        <v>7744</v>
      </c>
      <c r="G48" s="13">
        <f t="shared" si="25"/>
        <v>0</v>
      </c>
      <c r="H48" s="13">
        <f t="shared" si="25"/>
        <v>1</v>
      </c>
      <c r="I48" s="13">
        <f t="shared" si="25"/>
        <v>1</v>
      </c>
      <c r="J48" s="13">
        <f t="shared" si="25"/>
        <v>1</v>
      </c>
      <c r="K48" s="13">
        <f t="shared" si="25"/>
        <v>6561</v>
      </c>
      <c r="L48" s="13">
        <f t="shared" si="25"/>
        <v>6724</v>
      </c>
      <c r="M48" s="13">
        <f t="shared" si="25"/>
        <v>0</v>
      </c>
      <c r="N48" s="13">
        <f t="shared" si="25"/>
        <v>1</v>
      </c>
      <c r="O48" s="13">
        <f t="shared" si="25"/>
        <v>1</v>
      </c>
      <c r="Q48" s="14">
        <v>8</v>
      </c>
      <c r="S48" s="13">
        <f t="shared" si="17"/>
        <v>1</v>
      </c>
      <c r="T48" s="13">
        <f t="shared" si="17"/>
        <v>1</v>
      </c>
      <c r="U48" s="13">
        <f t="shared" si="17"/>
        <v>0</v>
      </c>
      <c r="V48" s="13">
        <f t="shared" si="17"/>
        <v>1</v>
      </c>
      <c r="W48" s="13">
        <f t="shared" si="17"/>
        <v>1</v>
      </c>
      <c r="X48" s="13">
        <f t="shared" si="17"/>
        <v>1</v>
      </c>
      <c r="Y48" s="13">
        <f t="shared" si="17"/>
        <v>0</v>
      </c>
      <c r="Z48" s="13">
        <f t="shared" si="17"/>
        <v>1</v>
      </c>
      <c r="AA48" s="13">
        <f t="shared" si="17"/>
        <v>1</v>
      </c>
      <c r="AB48" s="13">
        <f t="shared" si="17"/>
        <v>1</v>
      </c>
      <c r="AC48" s="13">
        <f t="shared" si="17"/>
        <v>0</v>
      </c>
      <c r="AD48" s="13">
        <f t="shared" si="17"/>
        <v>0</v>
      </c>
      <c r="AE48" s="13">
        <f t="shared" si="17"/>
        <v>0</v>
      </c>
      <c r="AG48" s="14">
        <v>8</v>
      </c>
      <c r="AI48" s="13">
        <f t="shared" si="18"/>
        <v>0</v>
      </c>
      <c r="AJ48" s="13">
        <f t="shared" si="15"/>
        <v>1</v>
      </c>
      <c r="AK48" s="13">
        <f t="shared" si="15"/>
        <v>0</v>
      </c>
      <c r="AL48" s="13">
        <f t="shared" si="15"/>
        <v>-88</v>
      </c>
      <c r="AM48" s="13">
        <f t="shared" si="15"/>
        <v>0</v>
      </c>
      <c r="AN48" s="13">
        <f t="shared" si="15"/>
        <v>1</v>
      </c>
      <c r="AO48" s="13">
        <f t="shared" si="15"/>
        <v>0</v>
      </c>
      <c r="AP48" s="13">
        <f t="shared" si="15"/>
        <v>-1</v>
      </c>
      <c r="AQ48" s="13">
        <f t="shared" si="15"/>
        <v>81</v>
      </c>
      <c r="AR48" s="13">
        <f t="shared" si="15"/>
        <v>82</v>
      </c>
      <c r="AS48" s="13">
        <f t="shared" si="15"/>
        <v>0</v>
      </c>
      <c r="AT48" s="13">
        <f t="shared" si="15"/>
        <v>0</v>
      </c>
      <c r="AU48" s="13">
        <f t="shared" si="15"/>
        <v>0</v>
      </c>
    </row>
    <row r="49" spans="1:47" x14ac:dyDescent="0.3">
      <c r="A49" s="14">
        <v>9</v>
      </c>
      <c r="C49" s="13">
        <f t="shared" ref="C49:O49" si="26">ROUND(C30^2,0)</f>
        <v>1</v>
      </c>
      <c r="D49" s="13">
        <f t="shared" si="26"/>
        <v>0</v>
      </c>
      <c r="E49" s="13">
        <f t="shared" si="26"/>
        <v>7056</v>
      </c>
      <c r="F49" s="13">
        <f t="shared" si="26"/>
        <v>7225</v>
      </c>
      <c r="G49" s="13">
        <f t="shared" si="26"/>
        <v>0</v>
      </c>
      <c r="H49" s="13">
        <f t="shared" si="26"/>
        <v>0</v>
      </c>
      <c r="I49" s="13">
        <f t="shared" si="26"/>
        <v>0</v>
      </c>
      <c r="J49" s="13">
        <f t="shared" si="26"/>
        <v>0</v>
      </c>
      <c r="K49" s="13">
        <f t="shared" si="26"/>
        <v>6241</v>
      </c>
      <c r="L49" s="13">
        <f t="shared" si="26"/>
        <v>6084</v>
      </c>
      <c r="M49" s="13">
        <f t="shared" si="26"/>
        <v>1</v>
      </c>
      <c r="N49" s="13">
        <f t="shared" si="26"/>
        <v>0</v>
      </c>
      <c r="O49" s="13">
        <f t="shared" si="26"/>
        <v>1</v>
      </c>
      <c r="Q49" s="14">
        <v>9</v>
      </c>
      <c r="S49" s="13">
        <f t="shared" si="17"/>
        <v>1</v>
      </c>
      <c r="T49" s="13">
        <f t="shared" si="17"/>
        <v>0</v>
      </c>
      <c r="U49" s="13">
        <f t="shared" si="17"/>
        <v>4</v>
      </c>
      <c r="V49" s="13">
        <f t="shared" si="17"/>
        <v>3721</v>
      </c>
      <c r="W49" s="13">
        <f t="shared" si="17"/>
        <v>4096</v>
      </c>
      <c r="X49" s="13">
        <f t="shared" si="17"/>
        <v>4096</v>
      </c>
      <c r="Y49" s="13">
        <f t="shared" si="17"/>
        <v>3844</v>
      </c>
      <c r="Z49" s="13">
        <f t="shared" si="17"/>
        <v>4096</v>
      </c>
      <c r="AA49" s="13">
        <f t="shared" si="17"/>
        <v>3844</v>
      </c>
      <c r="AB49" s="13">
        <f t="shared" si="17"/>
        <v>4</v>
      </c>
      <c r="AC49" s="13">
        <f t="shared" si="17"/>
        <v>0</v>
      </c>
      <c r="AD49" s="13">
        <f t="shared" si="17"/>
        <v>1</v>
      </c>
      <c r="AE49" s="13">
        <f t="shared" si="17"/>
        <v>1</v>
      </c>
      <c r="AG49" s="14">
        <v>9</v>
      </c>
      <c r="AI49" s="13">
        <f t="shared" si="18"/>
        <v>1</v>
      </c>
      <c r="AJ49" s="13">
        <f t="shared" si="15"/>
        <v>0</v>
      </c>
      <c r="AK49" s="13">
        <f t="shared" si="15"/>
        <v>-168</v>
      </c>
      <c r="AL49" s="13">
        <f t="shared" si="15"/>
        <v>-5185</v>
      </c>
      <c r="AM49" s="13">
        <f t="shared" si="15"/>
        <v>0</v>
      </c>
      <c r="AN49" s="13">
        <f t="shared" si="15"/>
        <v>0</v>
      </c>
      <c r="AO49" s="13">
        <f t="shared" si="15"/>
        <v>0</v>
      </c>
      <c r="AP49" s="13">
        <f t="shared" si="15"/>
        <v>0</v>
      </c>
      <c r="AQ49" s="13">
        <f t="shared" si="15"/>
        <v>4898</v>
      </c>
      <c r="AR49" s="13">
        <f t="shared" si="15"/>
        <v>156</v>
      </c>
      <c r="AS49" s="13">
        <f t="shared" si="15"/>
        <v>0</v>
      </c>
      <c r="AT49" s="13">
        <f t="shared" si="15"/>
        <v>0</v>
      </c>
      <c r="AU49" s="13">
        <f t="shared" si="15"/>
        <v>-1</v>
      </c>
    </row>
    <row r="50" spans="1:47" x14ac:dyDescent="0.3">
      <c r="A50" s="14">
        <v>10</v>
      </c>
      <c r="C50" s="13">
        <f t="shared" ref="C50:O50" si="27">ROUND(C31^2,0)</f>
        <v>0</v>
      </c>
      <c r="D50" s="13">
        <f t="shared" si="27"/>
        <v>1</v>
      </c>
      <c r="E50" s="13">
        <f t="shared" si="27"/>
        <v>729</v>
      </c>
      <c r="F50" s="13">
        <f t="shared" si="27"/>
        <v>625</v>
      </c>
      <c r="G50" s="13">
        <f t="shared" si="27"/>
        <v>0</v>
      </c>
      <c r="H50" s="13">
        <f t="shared" si="27"/>
        <v>0</v>
      </c>
      <c r="I50" s="13">
        <f t="shared" si="27"/>
        <v>0</v>
      </c>
      <c r="J50" s="13">
        <f t="shared" si="27"/>
        <v>0</v>
      </c>
      <c r="K50" s="13">
        <f t="shared" si="27"/>
        <v>400</v>
      </c>
      <c r="L50" s="13">
        <f t="shared" si="27"/>
        <v>361</v>
      </c>
      <c r="M50" s="13">
        <f t="shared" si="27"/>
        <v>1</v>
      </c>
      <c r="N50" s="13">
        <f t="shared" si="27"/>
        <v>0</v>
      </c>
      <c r="O50" s="13">
        <f t="shared" si="27"/>
        <v>0</v>
      </c>
      <c r="Q50" s="14">
        <v>10</v>
      </c>
      <c r="S50" s="13">
        <f t="shared" si="17"/>
        <v>1</v>
      </c>
      <c r="T50" s="13">
        <f t="shared" si="17"/>
        <v>1</v>
      </c>
      <c r="U50" s="13">
        <f t="shared" si="17"/>
        <v>361</v>
      </c>
      <c r="V50" s="13">
        <f t="shared" si="17"/>
        <v>3600</v>
      </c>
      <c r="W50" s="13">
        <f t="shared" si="17"/>
        <v>3969</v>
      </c>
      <c r="X50" s="13">
        <f t="shared" si="17"/>
        <v>3969</v>
      </c>
      <c r="Y50" s="13">
        <f t="shared" si="17"/>
        <v>4096</v>
      </c>
      <c r="Z50" s="13">
        <f t="shared" si="17"/>
        <v>3969</v>
      </c>
      <c r="AA50" s="13">
        <f t="shared" si="17"/>
        <v>3481</v>
      </c>
      <c r="AB50" s="13">
        <f t="shared" si="17"/>
        <v>1</v>
      </c>
      <c r="AC50" s="13">
        <f t="shared" si="17"/>
        <v>0</v>
      </c>
      <c r="AD50" s="13">
        <f t="shared" si="17"/>
        <v>1</v>
      </c>
      <c r="AE50" s="13">
        <f t="shared" si="17"/>
        <v>0</v>
      </c>
      <c r="AG50" s="14">
        <v>10</v>
      </c>
      <c r="AI50" s="13">
        <f t="shared" si="18"/>
        <v>0</v>
      </c>
      <c r="AJ50" s="13">
        <f t="shared" si="15"/>
        <v>-1</v>
      </c>
      <c r="AK50" s="13">
        <f t="shared" si="15"/>
        <v>513</v>
      </c>
      <c r="AL50" s="13">
        <f t="shared" si="15"/>
        <v>-1500</v>
      </c>
      <c r="AM50" s="13">
        <f t="shared" si="15"/>
        <v>0</v>
      </c>
      <c r="AN50" s="13">
        <f t="shared" si="15"/>
        <v>0</v>
      </c>
      <c r="AO50" s="13">
        <f t="shared" si="15"/>
        <v>0</v>
      </c>
      <c r="AP50" s="13">
        <f t="shared" si="15"/>
        <v>0</v>
      </c>
      <c r="AQ50" s="13">
        <f t="shared" si="15"/>
        <v>1180</v>
      </c>
      <c r="AR50" s="13">
        <f t="shared" si="15"/>
        <v>19</v>
      </c>
      <c r="AS50" s="13">
        <f t="shared" si="15"/>
        <v>0</v>
      </c>
      <c r="AT50" s="13">
        <f t="shared" si="15"/>
        <v>0</v>
      </c>
      <c r="AU50" s="13">
        <f t="shared" si="15"/>
        <v>0</v>
      </c>
    </row>
    <row r="51" spans="1:47" x14ac:dyDescent="0.3">
      <c r="A51" s="14">
        <v>11</v>
      </c>
      <c r="C51" s="13">
        <f t="shared" ref="C51:O51" si="28">ROUND(C32^2,0)</f>
        <v>1</v>
      </c>
      <c r="D51" s="13">
        <f t="shared" si="28"/>
        <v>576</v>
      </c>
      <c r="E51" s="13">
        <f t="shared" si="28"/>
        <v>576</v>
      </c>
      <c r="F51" s="13">
        <f t="shared" si="28"/>
        <v>1</v>
      </c>
      <c r="G51" s="13">
        <f t="shared" si="28"/>
        <v>0</v>
      </c>
      <c r="H51" s="13">
        <f t="shared" si="28"/>
        <v>0</v>
      </c>
      <c r="I51" s="13">
        <f t="shared" si="28"/>
        <v>0</v>
      </c>
      <c r="J51" s="13">
        <f t="shared" si="28"/>
        <v>1</v>
      </c>
      <c r="K51" s="13">
        <f t="shared" si="28"/>
        <v>289</v>
      </c>
      <c r="L51" s="13">
        <f t="shared" si="28"/>
        <v>324</v>
      </c>
      <c r="M51" s="13">
        <f t="shared" si="28"/>
        <v>1</v>
      </c>
      <c r="N51" s="13">
        <f t="shared" si="28"/>
        <v>0</v>
      </c>
      <c r="O51" s="13">
        <f t="shared" si="28"/>
        <v>0</v>
      </c>
      <c r="Q51" s="14">
        <v>11</v>
      </c>
      <c r="S51" s="13">
        <f t="shared" si="17"/>
        <v>0</v>
      </c>
      <c r="T51" s="13">
        <f t="shared" si="17"/>
        <v>576</v>
      </c>
      <c r="U51" s="13">
        <f t="shared" si="17"/>
        <v>529</v>
      </c>
      <c r="V51" s="13">
        <f t="shared" si="17"/>
        <v>4</v>
      </c>
      <c r="W51" s="13">
        <f t="shared" si="17"/>
        <v>1</v>
      </c>
      <c r="X51" s="13">
        <f t="shared" si="17"/>
        <v>0</v>
      </c>
      <c r="Y51" s="13">
        <f t="shared" si="17"/>
        <v>0</v>
      </c>
      <c r="Z51" s="13">
        <f t="shared" si="17"/>
        <v>0</v>
      </c>
      <c r="AA51" s="13">
        <f t="shared" si="17"/>
        <v>0</v>
      </c>
      <c r="AB51" s="13">
        <f t="shared" si="17"/>
        <v>0</v>
      </c>
      <c r="AC51" s="13">
        <f t="shared" si="17"/>
        <v>0</v>
      </c>
      <c r="AD51" s="13">
        <f t="shared" si="17"/>
        <v>0</v>
      </c>
      <c r="AE51" s="13">
        <f t="shared" si="17"/>
        <v>0</v>
      </c>
      <c r="AG51" s="14">
        <v>11</v>
      </c>
      <c r="AI51" s="13">
        <f t="shared" si="18"/>
        <v>0</v>
      </c>
      <c r="AJ51" s="13">
        <f t="shared" si="15"/>
        <v>576</v>
      </c>
      <c r="AK51" s="13">
        <f t="shared" si="15"/>
        <v>552</v>
      </c>
      <c r="AL51" s="13">
        <f t="shared" si="15"/>
        <v>2</v>
      </c>
      <c r="AM51" s="13">
        <f t="shared" si="15"/>
        <v>0</v>
      </c>
      <c r="AN51" s="13">
        <f t="shared" si="15"/>
        <v>0</v>
      </c>
      <c r="AO51" s="13">
        <f t="shared" si="15"/>
        <v>0</v>
      </c>
      <c r="AP51" s="13">
        <f t="shared" si="15"/>
        <v>0</v>
      </c>
      <c r="AQ51" s="13">
        <f t="shared" si="15"/>
        <v>0</v>
      </c>
      <c r="AR51" s="13">
        <f t="shared" si="15"/>
        <v>0</v>
      </c>
      <c r="AS51" s="13">
        <f t="shared" si="15"/>
        <v>0</v>
      </c>
      <c r="AT51" s="13">
        <f t="shared" si="15"/>
        <v>0</v>
      </c>
      <c r="AU51" s="13">
        <f t="shared" si="15"/>
        <v>0</v>
      </c>
    </row>
    <row r="52" spans="1:47" x14ac:dyDescent="0.3">
      <c r="A52" s="14">
        <v>12</v>
      </c>
      <c r="C52" s="13">
        <f t="shared" ref="C52:O52" si="29">ROUND(C33^2,0)</f>
        <v>576</v>
      </c>
      <c r="D52" s="13">
        <f t="shared" si="29"/>
        <v>625</v>
      </c>
      <c r="E52" s="13">
        <f t="shared" si="29"/>
        <v>1</v>
      </c>
      <c r="F52" s="13">
        <f t="shared" si="29"/>
        <v>0</v>
      </c>
      <c r="G52" s="13">
        <f t="shared" si="29"/>
        <v>4</v>
      </c>
      <c r="H52" s="13">
        <f t="shared" si="29"/>
        <v>0</v>
      </c>
      <c r="I52" s="13">
        <f t="shared" si="29"/>
        <v>0</v>
      </c>
      <c r="J52" s="13">
        <f t="shared" si="29"/>
        <v>1</v>
      </c>
      <c r="K52" s="13">
        <f t="shared" si="29"/>
        <v>324</v>
      </c>
      <c r="L52" s="13">
        <f t="shared" si="29"/>
        <v>256</v>
      </c>
      <c r="M52" s="13">
        <f t="shared" si="29"/>
        <v>1</v>
      </c>
      <c r="N52" s="13">
        <f t="shared" si="29"/>
        <v>0</v>
      </c>
      <c r="O52" s="13">
        <f t="shared" si="29"/>
        <v>0</v>
      </c>
      <c r="Q52" s="14">
        <v>12</v>
      </c>
      <c r="S52" s="13">
        <f t="shared" si="17"/>
        <v>4</v>
      </c>
      <c r="T52" s="13">
        <f t="shared" si="17"/>
        <v>576</v>
      </c>
      <c r="U52" s="13">
        <f t="shared" si="17"/>
        <v>4</v>
      </c>
      <c r="V52" s="13">
        <f t="shared" si="17"/>
        <v>4</v>
      </c>
      <c r="W52" s="13">
        <f t="shared" si="17"/>
        <v>1</v>
      </c>
      <c r="X52" s="13">
        <f t="shared" si="17"/>
        <v>0</v>
      </c>
      <c r="Y52" s="13">
        <f t="shared" si="17"/>
        <v>1</v>
      </c>
      <c r="Z52" s="13">
        <f t="shared" si="17"/>
        <v>0</v>
      </c>
      <c r="AA52" s="13">
        <f t="shared" si="17"/>
        <v>1</v>
      </c>
      <c r="AB52" s="13">
        <f t="shared" si="17"/>
        <v>1</v>
      </c>
      <c r="AC52" s="13">
        <f t="shared" si="17"/>
        <v>0</v>
      </c>
      <c r="AD52" s="13">
        <f t="shared" si="17"/>
        <v>0</v>
      </c>
      <c r="AE52" s="13">
        <f t="shared" si="17"/>
        <v>0</v>
      </c>
      <c r="AG52" s="14">
        <v>12</v>
      </c>
      <c r="AI52" s="13">
        <f t="shared" si="18"/>
        <v>48</v>
      </c>
      <c r="AJ52" s="13">
        <f t="shared" si="15"/>
        <v>600</v>
      </c>
      <c r="AK52" s="13">
        <f t="shared" si="15"/>
        <v>2</v>
      </c>
      <c r="AL52" s="13">
        <f t="shared" si="15"/>
        <v>0</v>
      </c>
      <c r="AM52" s="13">
        <f t="shared" si="15"/>
        <v>-2</v>
      </c>
      <c r="AN52" s="13">
        <f t="shared" si="15"/>
        <v>0</v>
      </c>
      <c r="AO52" s="13">
        <f t="shared" si="15"/>
        <v>0</v>
      </c>
      <c r="AP52" s="13">
        <f t="shared" si="15"/>
        <v>0</v>
      </c>
      <c r="AQ52" s="13">
        <f t="shared" si="15"/>
        <v>18</v>
      </c>
      <c r="AR52" s="13">
        <f t="shared" si="15"/>
        <v>16</v>
      </c>
      <c r="AS52" s="13">
        <f t="shared" si="15"/>
        <v>0</v>
      </c>
      <c r="AT52" s="13">
        <f t="shared" si="15"/>
        <v>0</v>
      </c>
      <c r="AU52" s="13">
        <f t="shared" si="15"/>
        <v>0</v>
      </c>
    </row>
    <row r="53" spans="1:47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</row>
    <row r="54" spans="1:47" x14ac:dyDescent="0.3">
      <c r="B54" s="12" t="s">
        <v>20</v>
      </c>
      <c r="C54" s="12" t="s">
        <v>17</v>
      </c>
      <c r="D54" s="12" t="s">
        <v>18</v>
      </c>
      <c r="E54" s="12" t="s">
        <v>2</v>
      </c>
      <c r="F54" s="12" t="s">
        <v>21</v>
      </c>
      <c r="G54" s="12" t="s">
        <v>17</v>
      </c>
      <c r="H54" s="12" t="s">
        <v>18</v>
      </c>
      <c r="I54" s="12" t="s">
        <v>2</v>
      </c>
      <c r="K54" s="12" t="s">
        <v>19</v>
      </c>
      <c r="L54" s="12" t="s">
        <v>22</v>
      </c>
      <c r="R54" s="12" t="s">
        <v>20</v>
      </c>
      <c r="S54" s="12" t="s">
        <v>17</v>
      </c>
      <c r="T54" s="12" t="s">
        <v>18</v>
      </c>
      <c r="U54" s="12" t="s">
        <v>2</v>
      </c>
      <c r="V54" s="12" t="s">
        <v>21</v>
      </c>
      <c r="W54" s="12" t="s">
        <v>17</v>
      </c>
      <c r="X54" s="12" t="s">
        <v>18</v>
      </c>
      <c r="Y54" s="12" t="s">
        <v>2</v>
      </c>
      <c r="AA54" s="12" t="s">
        <v>19</v>
      </c>
      <c r="AB54" s="12" t="s">
        <v>22</v>
      </c>
      <c r="AH54" s="12" t="s">
        <v>20</v>
      </c>
      <c r="AI54" s="12" t="s">
        <v>17</v>
      </c>
      <c r="AJ54" s="12" t="s">
        <v>18</v>
      </c>
      <c r="AK54" s="12" t="s">
        <v>2</v>
      </c>
      <c r="AL54" s="12" t="s">
        <v>21</v>
      </c>
      <c r="AM54" s="12" t="s">
        <v>17</v>
      </c>
      <c r="AN54" s="12" t="s">
        <v>18</v>
      </c>
      <c r="AO54" s="12" t="s">
        <v>2</v>
      </c>
      <c r="AQ54" s="12" t="s">
        <v>19</v>
      </c>
      <c r="AR54" s="12" t="s">
        <v>22</v>
      </c>
    </row>
    <row r="55" spans="1:47" x14ac:dyDescent="0.3">
      <c r="C55" s="12">
        <f>MIN(C40:O52)</f>
        <v>0</v>
      </c>
      <c r="D55" s="12">
        <f>MAX(C40:O52)</f>
        <v>7921</v>
      </c>
      <c r="E55" s="12">
        <f>D55-C55</f>
        <v>7921</v>
      </c>
      <c r="G55" s="12">
        <v>0</v>
      </c>
      <c r="H55" s="12">
        <v>255</v>
      </c>
      <c r="I55" s="12">
        <f>H55-G55</f>
        <v>255</v>
      </c>
      <c r="K55" s="12">
        <f>I55/E55</f>
        <v>3.2192904936245423E-2</v>
      </c>
      <c r="L55" s="12">
        <f>-C55+G55</f>
        <v>0</v>
      </c>
      <c r="S55" s="12">
        <f>MIN(S40:AE52)</f>
        <v>0</v>
      </c>
      <c r="T55" s="12">
        <f>MAX(S40:AE52)</f>
        <v>6561</v>
      </c>
      <c r="U55" s="12">
        <f>T55-S55</f>
        <v>6561</v>
      </c>
      <c r="W55" s="12">
        <v>0</v>
      </c>
      <c r="X55" s="12">
        <v>255</v>
      </c>
      <c r="Y55" s="12">
        <f>X55-W55</f>
        <v>255</v>
      </c>
      <c r="AA55" s="12">
        <f>Y55/U55</f>
        <v>3.8866026520347506E-2</v>
      </c>
      <c r="AB55" s="12">
        <f>-S55+W55</f>
        <v>0</v>
      </c>
      <c r="AI55" s="12">
        <f>MIN(AI40:AU52)</f>
        <v>-6240</v>
      </c>
      <c r="AJ55" s="12">
        <f>MAX(AI40:AU52)</f>
        <v>4898</v>
      </c>
      <c r="AK55" s="12">
        <f>AJ55-AI55</f>
        <v>11138</v>
      </c>
      <c r="AM55" s="12">
        <v>0</v>
      </c>
      <c r="AN55" s="12">
        <v>255</v>
      </c>
      <c r="AO55" s="12">
        <f>AN55-AM55</f>
        <v>255</v>
      </c>
      <c r="AQ55" s="12">
        <f>AO55/AK55</f>
        <v>2.2894595079906627E-2</v>
      </c>
      <c r="AR55" s="12">
        <f>-AI55+AM55</f>
        <v>6240</v>
      </c>
    </row>
    <row r="57" spans="1:47" hidden="1" x14ac:dyDescent="0.3">
      <c r="G57" s="12" t="s">
        <v>7</v>
      </c>
      <c r="W57" s="12" t="s">
        <v>9</v>
      </c>
      <c r="AK57" s="12" t="s">
        <v>10</v>
      </c>
    </row>
    <row r="58" spans="1:47" hidden="1" x14ac:dyDescent="0.3">
      <c r="C58" s="14">
        <v>0</v>
      </c>
      <c r="D58" s="14">
        <v>1</v>
      </c>
      <c r="E58" s="14">
        <v>2</v>
      </c>
      <c r="F58" s="14">
        <v>3</v>
      </c>
      <c r="G58" s="14">
        <v>4</v>
      </c>
      <c r="H58" s="14">
        <v>5</v>
      </c>
      <c r="I58" s="14">
        <v>6</v>
      </c>
      <c r="J58" s="14">
        <v>7</v>
      </c>
      <c r="K58" s="14">
        <v>8</v>
      </c>
      <c r="L58" s="14">
        <v>9</v>
      </c>
      <c r="M58" s="14">
        <v>10</v>
      </c>
      <c r="N58" s="14">
        <v>11</v>
      </c>
      <c r="O58" s="14">
        <v>12</v>
      </c>
      <c r="S58" s="14">
        <v>0</v>
      </c>
      <c r="T58" s="14">
        <v>1</v>
      </c>
      <c r="U58" s="14">
        <v>2</v>
      </c>
      <c r="V58" s="14">
        <v>3</v>
      </c>
      <c r="W58" s="14">
        <v>4</v>
      </c>
      <c r="X58" s="14">
        <v>5</v>
      </c>
      <c r="Y58" s="14">
        <v>6</v>
      </c>
      <c r="Z58" s="14">
        <v>7</v>
      </c>
      <c r="AA58" s="14">
        <v>8</v>
      </c>
      <c r="AB58" s="14">
        <v>9</v>
      </c>
      <c r="AC58" s="14">
        <v>10</v>
      </c>
      <c r="AD58" s="14">
        <v>11</v>
      </c>
      <c r="AE58" s="14">
        <v>12</v>
      </c>
      <c r="AI58" s="14">
        <v>0</v>
      </c>
      <c r="AJ58" s="14">
        <v>1</v>
      </c>
      <c r="AK58" s="14">
        <v>2</v>
      </c>
      <c r="AL58" s="14">
        <v>3</v>
      </c>
      <c r="AM58" s="14">
        <v>4</v>
      </c>
      <c r="AN58" s="14">
        <v>5</v>
      </c>
      <c r="AO58" s="14">
        <v>6</v>
      </c>
      <c r="AP58" s="14">
        <v>7</v>
      </c>
      <c r="AQ58" s="14">
        <v>8</v>
      </c>
      <c r="AR58" s="14">
        <v>9</v>
      </c>
      <c r="AS58" s="14">
        <v>10</v>
      </c>
      <c r="AT58" s="14">
        <v>11</v>
      </c>
      <c r="AU58" s="14">
        <v>12</v>
      </c>
    </row>
    <row r="59" spans="1:47" hidden="1" x14ac:dyDescent="0.3"/>
    <row r="60" spans="1:47" hidden="1" x14ac:dyDescent="0.3">
      <c r="A60" s="14">
        <v>0</v>
      </c>
      <c r="C60" s="13">
        <f>ROUND(C40*$K$55+$L$55,0)</f>
        <v>0</v>
      </c>
      <c r="D60" s="13">
        <f t="shared" ref="D60:O60" si="30">ROUND(D40*$K$55+$L$55,0)</f>
        <v>0</v>
      </c>
      <c r="E60" s="13">
        <f t="shared" si="30"/>
        <v>0</v>
      </c>
      <c r="F60" s="13">
        <f t="shared" si="30"/>
        <v>0</v>
      </c>
      <c r="G60" s="13">
        <f t="shared" si="30"/>
        <v>0</v>
      </c>
      <c r="H60" s="13">
        <f t="shared" si="30"/>
        <v>7</v>
      </c>
      <c r="I60" s="13">
        <f t="shared" si="30"/>
        <v>6</v>
      </c>
      <c r="J60" s="13">
        <f t="shared" si="30"/>
        <v>0</v>
      </c>
      <c r="K60" s="13">
        <f t="shared" si="30"/>
        <v>0</v>
      </c>
      <c r="L60" s="13">
        <f t="shared" si="30"/>
        <v>0</v>
      </c>
      <c r="M60" s="13">
        <f t="shared" si="30"/>
        <v>0</v>
      </c>
      <c r="N60" s="13">
        <f t="shared" si="30"/>
        <v>0</v>
      </c>
      <c r="O60" s="13">
        <f t="shared" si="30"/>
        <v>0</v>
      </c>
      <c r="Q60" s="14">
        <v>0</v>
      </c>
      <c r="S60" s="13">
        <f>ROUND(S40*$AA$55+$AB$55,0)</f>
        <v>0</v>
      </c>
      <c r="T60" s="13">
        <f t="shared" ref="T60:AE60" si="31">ROUND(T40*$AA$55+$AB$55,0)</f>
        <v>0</v>
      </c>
      <c r="U60" s="13">
        <f t="shared" si="31"/>
        <v>0</v>
      </c>
      <c r="V60" s="13">
        <f t="shared" si="31"/>
        <v>0</v>
      </c>
      <c r="W60" s="13">
        <f t="shared" si="31"/>
        <v>0</v>
      </c>
      <c r="X60" s="13">
        <f t="shared" si="31"/>
        <v>0</v>
      </c>
      <c r="Y60" s="13">
        <f t="shared" si="31"/>
        <v>0</v>
      </c>
      <c r="Z60" s="13">
        <f t="shared" si="31"/>
        <v>0</v>
      </c>
      <c r="AA60" s="13">
        <f t="shared" si="31"/>
        <v>0</v>
      </c>
      <c r="AB60" s="13">
        <f t="shared" si="31"/>
        <v>0</v>
      </c>
      <c r="AC60" s="13">
        <f t="shared" si="31"/>
        <v>0</v>
      </c>
      <c r="AD60" s="13">
        <f t="shared" si="31"/>
        <v>0</v>
      </c>
      <c r="AE60" s="13">
        <f t="shared" si="31"/>
        <v>0</v>
      </c>
      <c r="AG60" s="14">
        <v>0</v>
      </c>
      <c r="AI60" s="13">
        <f>ROUND((AI40+$AR$55)*$AQ$55,0)</f>
        <v>143</v>
      </c>
      <c r="AJ60" s="13">
        <f t="shared" ref="AJ60:AU60" si="32">ROUND((AJ40+$AR$55)*$AQ$55,0)</f>
        <v>143</v>
      </c>
      <c r="AK60" s="13">
        <f t="shared" si="32"/>
        <v>143</v>
      </c>
      <c r="AL60" s="13">
        <f t="shared" si="32"/>
        <v>143</v>
      </c>
      <c r="AM60" s="13">
        <f t="shared" si="32"/>
        <v>143</v>
      </c>
      <c r="AN60" s="13">
        <f t="shared" si="32"/>
        <v>143</v>
      </c>
      <c r="AO60" s="13">
        <f t="shared" si="32"/>
        <v>143</v>
      </c>
      <c r="AP60" s="13">
        <f t="shared" si="32"/>
        <v>143</v>
      </c>
      <c r="AQ60" s="13">
        <f t="shared" si="32"/>
        <v>143</v>
      </c>
      <c r="AR60" s="13">
        <f t="shared" si="32"/>
        <v>143</v>
      </c>
      <c r="AS60" s="13">
        <f t="shared" si="32"/>
        <v>143</v>
      </c>
      <c r="AT60" s="13">
        <f t="shared" si="32"/>
        <v>143</v>
      </c>
      <c r="AU60" s="13">
        <f t="shared" si="32"/>
        <v>143</v>
      </c>
    </row>
    <row r="61" spans="1:47" hidden="1" x14ac:dyDescent="0.3">
      <c r="A61" s="14">
        <v>1</v>
      </c>
      <c r="C61" s="13">
        <f t="shared" ref="C61:O72" si="33">ROUND(C41*$K$55+$L$55,0)</f>
        <v>0</v>
      </c>
      <c r="D61" s="13">
        <f t="shared" si="33"/>
        <v>0</v>
      </c>
      <c r="E61" s="13">
        <f t="shared" si="33"/>
        <v>0</v>
      </c>
      <c r="F61" s="13">
        <f t="shared" si="33"/>
        <v>0</v>
      </c>
      <c r="G61" s="13">
        <f t="shared" si="33"/>
        <v>0</v>
      </c>
      <c r="H61" s="13">
        <f t="shared" si="33"/>
        <v>7</v>
      </c>
      <c r="I61" s="13">
        <f t="shared" si="33"/>
        <v>10</v>
      </c>
      <c r="J61" s="13">
        <f t="shared" si="33"/>
        <v>0</v>
      </c>
      <c r="K61" s="13">
        <f t="shared" si="33"/>
        <v>0</v>
      </c>
      <c r="L61" s="13">
        <f t="shared" si="33"/>
        <v>0</v>
      </c>
      <c r="M61" s="13">
        <f t="shared" si="33"/>
        <v>0</v>
      </c>
      <c r="N61" s="13">
        <f t="shared" si="33"/>
        <v>0</v>
      </c>
      <c r="O61" s="13">
        <f t="shared" si="33"/>
        <v>0</v>
      </c>
      <c r="Q61" s="14">
        <v>1</v>
      </c>
      <c r="S61" s="13">
        <f t="shared" ref="S61:AE72" si="34">ROUND(S41*$AA$55+$AB$55,0)</f>
        <v>0</v>
      </c>
      <c r="T61" s="13">
        <f t="shared" si="34"/>
        <v>0</v>
      </c>
      <c r="U61" s="13">
        <f t="shared" si="34"/>
        <v>0</v>
      </c>
      <c r="V61" s="13">
        <f t="shared" si="34"/>
        <v>0</v>
      </c>
      <c r="W61" s="13">
        <f t="shared" si="34"/>
        <v>0</v>
      </c>
      <c r="X61" s="13">
        <f t="shared" si="34"/>
        <v>145</v>
      </c>
      <c r="Y61" s="13">
        <f t="shared" si="34"/>
        <v>0</v>
      </c>
      <c r="Z61" s="13">
        <f t="shared" si="34"/>
        <v>0</v>
      </c>
      <c r="AA61" s="13">
        <f t="shared" si="34"/>
        <v>0</v>
      </c>
      <c r="AB61" s="13">
        <f t="shared" si="34"/>
        <v>0</v>
      </c>
      <c r="AC61" s="13">
        <f t="shared" si="34"/>
        <v>0</v>
      </c>
      <c r="AD61" s="13">
        <f t="shared" si="34"/>
        <v>0</v>
      </c>
      <c r="AE61" s="13">
        <f t="shared" si="34"/>
        <v>0</v>
      </c>
      <c r="AG61" s="14">
        <v>1</v>
      </c>
      <c r="AI61" s="13">
        <f t="shared" ref="AI61:AU72" si="35">ROUND((AI41+$AR$55)*$AQ$55,0)</f>
        <v>143</v>
      </c>
      <c r="AJ61" s="13">
        <f t="shared" si="35"/>
        <v>143</v>
      </c>
      <c r="AK61" s="13">
        <f t="shared" si="35"/>
        <v>143</v>
      </c>
      <c r="AL61" s="13">
        <f t="shared" si="35"/>
        <v>143</v>
      </c>
      <c r="AM61" s="13">
        <f t="shared" si="35"/>
        <v>143</v>
      </c>
      <c r="AN61" s="13">
        <f t="shared" si="35"/>
        <v>122</v>
      </c>
      <c r="AO61" s="13">
        <f t="shared" si="35"/>
        <v>142</v>
      </c>
      <c r="AP61" s="13">
        <f t="shared" si="35"/>
        <v>143</v>
      </c>
      <c r="AQ61" s="13">
        <f t="shared" si="35"/>
        <v>143</v>
      </c>
      <c r="AR61" s="13">
        <f t="shared" si="35"/>
        <v>143</v>
      </c>
      <c r="AS61" s="13">
        <f t="shared" si="35"/>
        <v>143</v>
      </c>
      <c r="AT61" s="13">
        <f t="shared" si="35"/>
        <v>143</v>
      </c>
      <c r="AU61" s="13">
        <f t="shared" si="35"/>
        <v>143</v>
      </c>
    </row>
    <row r="62" spans="1:47" hidden="1" x14ac:dyDescent="0.3">
      <c r="A62" s="14">
        <v>2</v>
      </c>
      <c r="C62" s="13">
        <f t="shared" si="33"/>
        <v>0</v>
      </c>
      <c r="D62" s="13">
        <f t="shared" si="33"/>
        <v>0</v>
      </c>
      <c r="E62" s="13">
        <f t="shared" si="33"/>
        <v>0</v>
      </c>
      <c r="F62" s="13">
        <f t="shared" si="33"/>
        <v>0</v>
      </c>
      <c r="G62" s="13">
        <f t="shared" si="33"/>
        <v>128</v>
      </c>
      <c r="H62" s="13">
        <f t="shared" si="33"/>
        <v>6</v>
      </c>
      <c r="I62" s="13">
        <f t="shared" si="33"/>
        <v>191</v>
      </c>
      <c r="J62" s="13">
        <f t="shared" si="33"/>
        <v>0</v>
      </c>
      <c r="K62" s="13">
        <f t="shared" si="33"/>
        <v>0</v>
      </c>
      <c r="L62" s="13">
        <f t="shared" si="33"/>
        <v>0</v>
      </c>
      <c r="M62" s="13">
        <f t="shared" si="33"/>
        <v>0</v>
      </c>
      <c r="N62" s="13">
        <f t="shared" si="33"/>
        <v>0</v>
      </c>
      <c r="O62" s="13">
        <f t="shared" si="33"/>
        <v>0</v>
      </c>
      <c r="Q62" s="14">
        <v>2</v>
      </c>
      <c r="S62" s="13">
        <f t="shared" si="34"/>
        <v>0</v>
      </c>
      <c r="T62" s="13">
        <f t="shared" si="34"/>
        <v>0</v>
      </c>
      <c r="U62" s="13">
        <f t="shared" si="34"/>
        <v>0</v>
      </c>
      <c r="V62" s="13">
        <f t="shared" si="34"/>
        <v>0</v>
      </c>
      <c r="W62" s="13">
        <f t="shared" si="34"/>
        <v>154</v>
      </c>
      <c r="X62" s="13">
        <f t="shared" si="34"/>
        <v>169</v>
      </c>
      <c r="Y62" s="13">
        <f t="shared" si="34"/>
        <v>230</v>
      </c>
      <c r="Z62" s="13">
        <f t="shared" si="34"/>
        <v>0</v>
      </c>
      <c r="AA62" s="13">
        <f t="shared" si="34"/>
        <v>0</v>
      </c>
      <c r="AB62" s="13">
        <f t="shared" si="34"/>
        <v>0</v>
      </c>
      <c r="AC62" s="13">
        <f t="shared" si="34"/>
        <v>0</v>
      </c>
      <c r="AD62" s="13">
        <f t="shared" si="34"/>
        <v>0</v>
      </c>
      <c r="AE62" s="13">
        <f t="shared" si="34"/>
        <v>0</v>
      </c>
      <c r="AG62" s="14">
        <v>2</v>
      </c>
      <c r="AI62" s="13">
        <f t="shared" si="35"/>
        <v>143</v>
      </c>
      <c r="AJ62" s="13">
        <f t="shared" si="35"/>
        <v>143</v>
      </c>
      <c r="AK62" s="13">
        <f t="shared" si="35"/>
        <v>143</v>
      </c>
      <c r="AL62" s="13">
        <f t="shared" si="35"/>
        <v>143</v>
      </c>
      <c r="AM62" s="13">
        <f t="shared" si="35"/>
        <v>234</v>
      </c>
      <c r="AN62" s="13">
        <f t="shared" si="35"/>
        <v>122</v>
      </c>
      <c r="AO62" s="13">
        <f t="shared" si="35"/>
        <v>7</v>
      </c>
      <c r="AP62" s="13">
        <f t="shared" si="35"/>
        <v>143</v>
      </c>
      <c r="AQ62" s="13">
        <f t="shared" si="35"/>
        <v>143</v>
      </c>
      <c r="AR62" s="13">
        <f t="shared" si="35"/>
        <v>143</v>
      </c>
      <c r="AS62" s="13">
        <f t="shared" si="35"/>
        <v>143</v>
      </c>
      <c r="AT62" s="13">
        <f t="shared" si="35"/>
        <v>143</v>
      </c>
      <c r="AU62" s="13">
        <f t="shared" si="35"/>
        <v>143</v>
      </c>
    </row>
    <row r="63" spans="1:47" hidden="1" x14ac:dyDescent="0.3">
      <c r="A63" s="14">
        <v>3</v>
      </c>
      <c r="C63" s="13">
        <f t="shared" si="33"/>
        <v>0</v>
      </c>
      <c r="D63" s="13">
        <f t="shared" si="33"/>
        <v>0</v>
      </c>
      <c r="E63" s="13">
        <f t="shared" si="33"/>
        <v>0</v>
      </c>
      <c r="F63" s="13">
        <f t="shared" si="33"/>
        <v>128</v>
      </c>
      <c r="G63" s="13">
        <f t="shared" si="33"/>
        <v>128</v>
      </c>
      <c r="H63" s="13">
        <f t="shared" si="33"/>
        <v>0</v>
      </c>
      <c r="I63" s="13">
        <f t="shared" si="33"/>
        <v>196</v>
      </c>
      <c r="J63" s="13">
        <f t="shared" si="33"/>
        <v>176</v>
      </c>
      <c r="K63" s="13">
        <f t="shared" si="33"/>
        <v>0</v>
      </c>
      <c r="L63" s="13">
        <f t="shared" si="33"/>
        <v>0</v>
      </c>
      <c r="M63" s="13">
        <f t="shared" si="33"/>
        <v>0</v>
      </c>
      <c r="N63" s="13">
        <f t="shared" si="33"/>
        <v>0</v>
      </c>
      <c r="O63" s="13">
        <f t="shared" si="33"/>
        <v>0</v>
      </c>
      <c r="Q63" s="14">
        <v>3</v>
      </c>
      <c r="S63" s="13">
        <f t="shared" si="34"/>
        <v>0</v>
      </c>
      <c r="T63" s="13">
        <f t="shared" si="34"/>
        <v>0</v>
      </c>
      <c r="U63" s="13">
        <f t="shared" si="34"/>
        <v>0</v>
      </c>
      <c r="V63" s="13">
        <f t="shared" si="34"/>
        <v>154</v>
      </c>
      <c r="W63" s="13">
        <f t="shared" si="34"/>
        <v>159</v>
      </c>
      <c r="X63" s="13">
        <f t="shared" si="34"/>
        <v>2</v>
      </c>
      <c r="Y63" s="13">
        <f t="shared" si="34"/>
        <v>249</v>
      </c>
      <c r="Z63" s="13">
        <f t="shared" si="34"/>
        <v>255</v>
      </c>
      <c r="AA63" s="13">
        <f t="shared" si="34"/>
        <v>243</v>
      </c>
      <c r="AB63" s="13">
        <f t="shared" si="34"/>
        <v>1</v>
      </c>
      <c r="AC63" s="13">
        <f t="shared" si="34"/>
        <v>0</v>
      </c>
      <c r="AD63" s="13">
        <f t="shared" si="34"/>
        <v>0</v>
      </c>
      <c r="AE63" s="13">
        <f t="shared" si="34"/>
        <v>0</v>
      </c>
      <c r="AG63" s="14">
        <v>3</v>
      </c>
      <c r="AI63" s="13">
        <f t="shared" si="35"/>
        <v>143</v>
      </c>
      <c r="AJ63" s="13">
        <f t="shared" si="35"/>
        <v>143</v>
      </c>
      <c r="AK63" s="13">
        <f t="shared" si="35"/>
        <v>143</v>
      </c>
      <c r="AL63" s="13">
        <f t="shared" si="35"/>
        <v>234</v>
      </c>
      <c r="AM63" s="13">
        <f t="shared" si="35"/>
        <v>235</v>
      </c>
      <c r="AN63" s="13">
        <f t="shared" si="35"/>
        <v>143</v>
      </c>
      <c r="AO63" s="13">
        <f t="shared" si="35"/>
        <v>0</v>
      </c>
      <c r="AP63" s="13">
        <f t="shared" si="35"/>
        <v>6</v>
      </c>
      <c r="AQ63" s="13">
        <f t="shared" si="35"/>
        <v>139</v>
      </c>
      <c r="AR63" s="13">
        <f t="shared" si="35"/>
        <v>143</v>
      </c>
      <c r="AS63" s="13">
        <f t="shared" si="35"/>
        <v>143</v>
      </c>
      <c r="AT63" s="13">
        <f t="shared" si="35"/>
        <v>143</v>
      </c>
      <c r="AU63" s="13">
        <f t="shared" si="35"/>
        <v>143</v>
      </c>
    </row>
    <row r="64" spans="1:47" hidden="1" x14ac:dyDescent="0.3">
      <c r="A64" s="14">
        <v>4</v>
      </c>
      <c r="C64" s="13">
        <f t="shared" si="33"/>
        <v>0</v>
      </c>
      <c r="D64" s="13">
        <f t="shared" si="33"/>
        <v>0</v>
      </c>
      <c r="E64" s="13">
        <f t="shared" si="33"/>
        <v>136</v>
      </c>
      <c r="F64" s="13">
        <f t="shared" si="33"/>
        <v>145</v>
      </c>
      <c r="G64" s="13">
        <f t="shared" si="33"/>
        <v>0</v>
      </c>
      <c r="H64" s="13">
        <f t="shared" si="33"/>
        <v>0</v>
      </c>
      <c r="I64" s="13">
        <f t="shared" si="33"/>
        <v>1</v>
      </c>
      <c r="J64" s="13">
        <f t="shared" si="33"/>
        <v>1</v>
      </c>
      <c r="K64" s="13">
        <f t="shared" si="33"/>
        <v>196</v>
      </c>
      <c r="L64" s="13">
        <f t="shared" si="33"/>
        <v>206</v>
      </c>
      <c r="M64" s="13">
        <f t="shared" si="33"/>
        <v>0</v>
      </c>
      <c r="N64" s="13">
        <f t="shared" si="33"/>
        <v>0</v>
      </c>
      <c r="O64" s="13">
        <f t="shared" si="33"/>
        <v>0</v>
      </c>
      <c r="Q64" s="14">
        <v>4</v>
      </c>
      <c r="S64" s="13">
        <f t="shared" si="34"/>
        <v>19</v>
      </c>
      <c r="T64" s="13">
        <f t="shared" si="34"/>
        <v>21</v>
      </c>
      <c r="U64" s="13">
        <f t="shared" si="34"/>
        <v>16</v>
      </c>
      <c r="V64" s="13">
        <f t="shared" si="34"/>
        <v>140</v>
      </c>
      <c r="W64" s="13">
        <f t="shared" si="34"/>
        <v>0</v>
      </c>
      <c r="X64" s="13">
        <f t="shared" si="34"/>
        <v>0</v>
      </c>
      <c r="Y64" s="13">
        <f t="shared" si="34"/>
        <v>0</v>
      </c>
      <c r="Z64" s="13">
        <f t="shared" si="34"/>
        <v>243</v>
      </c>
      <c r="AA64" s="13">
        <f t="shared" si="34"/>
        <v>230</v>
      </c>
      <c r="AB64" s="13">
        <f t="shared" si="34"/>
        <v>0</v>
      </c>
      <c r="AC64" s="13">
        <f t="shared" si="34"/>
        <v>0</v>
      </c>
      <c r="AD64" s="13">
        <f t="shared" si="34"/>
        <v>0</v>
      </c>
      <c r="AE64" s="13">
        <f t="shared" si="34"/>
        <v>0</v>
      </c>
      <c r="AG64" s="14">
        <v>4</v>
      </c>
      <c r="AI64" s="13">
        <f t="shared" si="35"/>
        <v>143</v>
      </c>
      <c r="AJ64" s="13">
        <f t="shared" si="35"/>
        <v>143</v>
      </c>
      <c r="AK64" s="13">
        <f t="shared" si="35"/>
        <v>113</v>
      </c>
      <c r="AL64" s="13">
        <f t="shared" si="35"/>
        <v>235</v>
      </c>
      <c r="AM64" s="13">
        <f t="shared" si="35"/>
        <v>143</v>
      </c>
      <c r="AN64" s="13">
        <f t="shared" si="35"/>
        <v>143</v>
      </c>
      <c r="AO64" s="13">
        <f t="shared" si="35"/>
        <v>143</v>
      </c>
      <c r="AP64" s="13">
        <f t="shared" si="35"/>
        <v>136</v>
      </c>
      <c r="AQ64" s="13">
        <f t="shared" si="35"/>
        <v>5</v>
      </c>
      <c r="AR64" s="13">
        <f t="shared" si="35"/>
        <v>141</v>
      </c>
      <c r="AS64" s="13">
        <f t="shared" si="35"/>
        <v>143</v>
      </c>
      <c r="AT64" s="13">
        <f t="shared" si="35"/>
        <v>143</v>
      </c>
      <c r="AU64" s="13">
        <f t="shared" si="35"/>
        <v>143</v>
      </c>
    </row>
    <row r="65" spans="1:47" hidden="1" x14ac:dyDescent="0.3">
      <c r="A65" s="14">
        <v>5</v>
      </c>
      <c r="C65" s="13">
        <f t="shared" si="33"/>
        <v>0</v>
      </c>
      <c r="D65" s="13">
        <f t="shared" si="33"/>
        <v>0</v>
      </c>
      <c r="E65" s="13">
        <f t="shared" si="33"/>
        <v>244</v>
      </c>
      <c r="F65" s="13">
        <f t="shared" si="33"/>
        <v>244</v>
      </c>
      <c r="G65" s="13">
        <f t="shared" si="33"/>
        <v>0</v>
      </c>
      <c r="H65" s="13">
        <f t="shared" si="33"/>
        <v>0</v>
      </c>
      <c r="I65" s="13">
        <f t="shared" si="33"/>
        <v>0</v>
      </c>
      <c r="J65" s="13">
        <f t="shared" si="33"/>
        <v>0</v>
      </c>
      <c r="K65" s="13">
        <f t="shared" si="33"/>
        <v>222</v>
      </c>
      <c r="L65" s="13">
        <f t="shared" si="33"/>
        <v>211</v>
      </c>
      <c r="M65" s="13">
        <f t="shared" si="33"/>
        <v>0</v>
      </c>
      <c r="N65" s="13">
        <f t="shared" si="33"/>
        <v>0</v>
      </c>
      <c r="O65" s="13">
        <f t="shared" si="33"/>
        <v>0</v>
      </c>
      <c r="Q65" s="14">
        <v>5</v>
      </c>
      <c r="S65" s="13">
        <f t="shared" si="34"/>
        <v>19</v>
      </c>
      <c r="T65" s="13">
        <f t="shared" si="34"/>
        <v>17</v>
      </c>
      <c r="U65" s="13">
        <f t="shared" si="34"/>
        <v>16</v>
      </c>
      <c r="V65" s="13">
        <f t="shared" si="34"/>
        <v>0</v>
      </c>
      <c r="W65" s="13">
        <f t="shared" si="34"/>
        <v>0</v>
      </c>
      <c r="X65" s="13">
        <f t="shared" si="34"/>
        <v>0</v>
      </c>
      <c r="Y65" s="13">
        <f t="shared" si="34"/>
        <v>0</v>
      </c>
      <c r="Z65" s="13">
        <f t="shared" si="34"/>
        <v>0</v>
      </c>
      <c r="AA65" s="13">
        <f t="shared" si="34"/>
        <v>0</v>
      </c>
      <c r="AB65" s="13">
        <f t="shared" si="34"/>
        <v>0</v>
      </c>
      <c r="AC65" s="13">
        <f t="shared" si="34"/>
        <v>0</v>
      </c>
      <c r="AD65" s="13">
        <f t="shared" si="34"/>
        <v>0</v>
      </c>
      <c r="AE65" s="13">
        <f t="shared" si="34"/>
        <v>0</v>
      </c>
      <c r="AG65" s="14">
        <v>5</v>
      </c>
      <c r="AI65" s="13">
        <f t="shared" si="35"/>
        <v>142</v>
      </c>
      <c r="AJ65" s="13">
        <f t="shared" si="35"/>
        <v>143</v>
      </c>
      <c r="AK65" s="13">
        <f t="shared" si="35"/>
        <v>103</v>
      </c>
      <c r="AL65" s="13">
        <f t="shared" si="35"/>
        <v>143</v>
      </c>
      <c r="AM65" s="13">
        <f t="shared" si="35"/>
        <v>143</v>
      </c>
      <c r="AN65" s="13">
        <f t="shared" si="35"/>
        <v>143</v>
      </c>
      <c r="AO65" s="13">
        <f t="shared" si="35"/>
        <v>143</v>
      </c>
      <c r="AP65" s="13">
        <f t="shared" si="35"/>
        <v>143</v>
      </c>
      <c r="AQ65" s="13">
        <f t="shared" si="35"/>
        <v>143</v>
      </c>
      <c r="AR65" s="13">
        <f t="shared" si="35"/>
        <v>145</v>
      </c>
      <c r="AS65" s="13">
        <f t="shared" si="35"/>
        <v>143</v>
      </c>
      <c r="AT65" s="13">
        <f t="shared" si="35"/>
        <v>143</v>
      </c>
      <c r="AU65" s="13">
        <f t="shared" si="35"/>
        <v>143</v>
      </c>
    </row>
    <row r="66" spans="1:47" hidden="1" x14ac:dyDescent="0.3">
      <c r="A66" s="14">
        <v>6</v>
      </c>
      <c r="C66" s="13">
        <f t="shared" si="33"/>
        <v>0</v>
      </c>
      <c r="D66" s="13">
        <f t="shared" si="33"/>
        <v>0</v>
      </c>
      <c r="E66" s="13">
        <f t="shared" si="33"/>
        <v>255</v>
      </c>
      <c r="F66" s="13">
        <f t="shared" si="33"/>
        <v>249</v>
      </c>
      <c r="G66" s="13">
        <f t="shared" si="33"/>
        <v>0</v>
      </c>
      <c r="H66" s="13">
        <f t="shared" si="33"/>
        <v>0</v>
      </c>
      <c r="I66" s="13">
        <f t="shared" si="33"/>
        <v>0</v>
      </c>
      <c r="J66" s="13">
        <f t="shared" si="33"/>
        <v>0</v>
      </c>
      <c r="K66" s="13">
        <f t="shared" si="33"/>
        <v>227</v>
      </c>
      <c r="L66" s="13">
        <f t="shared" si="33"/>
        <v>222</v>
      </c>
      <c r="M66" s="13">
        <f t="shared" si="33"/>
        <v>0</v>
      </c>
      <c r="N66" s="13">
        <f t="shared" si="33"/>
        <v>0</v>
      </c>
      <c r="O66" s="13">
        <f t="shared" si="33"/>
        <v>0</v>
      </c>
      <c r="Q66" s="14">
        <v>6</v>
      </c>
      <c r="S66" s="13">
        <f t="shared" si="34"/>
        <v>0</v>
      </c>
      <c r="T66" s="13">
        <f t="shared" si="34"/>
        <v>0</v>
      </c>
      <c r="U66" s="13">
        <f t="shared" si="34"/>
        <v>0</v>
      </c>
      <c r="V66" s="13">
        <f t="shared" si="34"/>
        <v>0</v>
      </c>
      <c r="W66" s="13">
        <f t="shared" si="34"/>
        <v>0</v>
      </c>
      <c r="X66" s="13">
        <f t="shared" si="34"/>
        <v>0</v>
      </c>
      <c r="Y66" s="13">
        <f t="shared" si="34"/>
        <v>0</v>
      </c>
      <c r="Z66" s="13">
        <f t="shared" si="34"/>
        <v>0</v>
      </c>
      <c r="AA66" s="13">
        <f t="shared" si="34"/>
        <v>0</v>
      </c>
      <c r="AB66" s="13">
        <f t="shared" si="34"/>
        <v>0</v>
      </c>
      <c r="AC66" s="13">
        <f t="shared" si="34"/>
        <v>0</v>
      </c>
      <c r="AD66" s="13">
        <f t="shared" si="34"/>
        <v>0</v>
      </c>
      <c r="AE66" s="13">
        <f t="shared" si="34"/>
        <v>0</v>
      </c>
      <c r="AG66" s="14">
        <v>6</v>
      </c>
      <c r="AI66" s="13">
        <f t="shared" si="35"/>
        <v>143</v>
      </c>
      <c r="AJ66" s="13">
        <f t="shared" si="35"/>
        <v>143</v>
      </c>
      <c r="AK66" s="13">
        <f t="shared" si="35"/>
        <v>143</v>
      </c>
      <c r="AL66" s="13">
        <f t="shared" si="35"/>
        <v>145</v>
      </c>
      <c r="AM66" s="13">
        <f t="shared" si="35"/>
        <v>143</v>
      </c>
      <c r="AN66" s="13">
        <f t="shared" si="35"/>
        <v>143</v>
      </c>
      <c r="AO66" s="13">
        <f t="shared" si="35"/>
        <v>143</v>
      </c>
      <c r="AP66" s="13">
        <f t="shared" si="35"/>
        <v>143</v>
      </c>
      <c r="AQ66" s="13">
        <f t="shared" si="35"/>
        <v>141</v>
      </c>
      <c r="AR66" s="13">
        <f t="shared" si="35"/>
        <v>143</v>
      </c>
      <c r="AS66" s="13">
        <f t="shared" si="35"/>
        <v>143</v>
      </c>
      <c r="AT66" s="13">
        <f t="shared" si="35"/>
        <v>143</v>
      </c>
      <c r="AU66" s="13">
        <f t="shared" si="35"/>
        <v>143</v>
      </c>
    </row>
    <row r="67" spans="1:47" hidden="1" x14ac:dyDescent="0.3">
      <c r="A67" s="14">
        <v>7</v>
      </c>
      <c r="C67" s="13">
        <f t="shared" si="33"/>
        <v>0</v>
      </c>
      <c r="D67" s="13">
        <f t="shared" si="33"/>
        <v>0</v>
      </c>
      <c r="E67" s="13">
        <f t="shared" si="33"/>
        <v>255</v>
      </c>
      <c r="F67" s="13">
        <f t="shared" si="33"/>
        <v>255</v>
      </c>
      <c r="G67" s="13">
        <f t="shared" si="33"/>
        <v>0</v>
      </c>
      <c r="H67" s="13">
        <f t="shared" si="33"/>
        <v>0</v>
      </c>
      <c r="I67" s="13">
        <f t="shared" si="33"/>
        <v>0</v>
      </c>
      <c r="J67" s="13">
        <f t="shared" si="33"/>
        <v>0</v>
      </c>
      <c r="K67" s="13">
        <f t="shared" si="33"/>
        <v>222</v>
      </c>
      <c r="L67" s="13">
        <f t="shared" si="33"/>
        <v>216</v>
      </c>
      <c r="M67" s="13">
        <f t="shared" si="33"/>
        <v>0</v>
      </c>
      <c r="N67" s="13">
        <f t="shared" si="33"/>
        <v>0</v>
      </c>
      <c r="O67" s="13">
        <f t="shared" si="33"/>
        <v>0</v>
      </c>
      <c r="Q67" s="14">
        <v>7</v>
      </c>
      <c r="S67" s="13">
        <f t="shared" si="34"/>
        <v>0</v>
      </c>
      <c r="T67" s="13">
        <f t="shared" si="34"/>
        <v>0</v>
      </c>
      <c r="U67" s="13">
        <f t="shared" si="34"/>
        <v>0</v>
      </c>
      <c r="V67" s="13">
        <f t="shared" si="34"/>
        <v>0</v>
      </c>
      <c r="W67" s="13">
        <f t="shared" si="34"/>
        <v>0</v>
      </c>
      <c r="X67" s="13">
        <f t="shared" si="34"/>
        <v>0</v>
      </c>
      <c r="Y67" s="13">
        <f t="shared" si="34"/>
        <v>0</v>
      </c>
      <c r="Z67" s="13">
        <f t="shared" si="34"/>
        <v>0</v>
      </c>
      <c r="AA67" s="13">
        <f t="shared" si="34"/>
        <v>0</v>
      </c>
      <c r="AB67" s="13">
        <f t="shared" si="34"/>
        <v>0</v>
      </c>
      <c r="AC67" s="13">
        <f t="shared" si="34"/>
        <v>0</v>
      </c>
      <c r="AD67" s="13">
        <f t="shared" si="34"/>
        <v>0</v>
      </c>
      <c r="AE67" s="13">
        <f t="shared" si="34"/>
        <v>0</v>
      </c>
      <c r="AG67" s="14">
        <v>7</v>
      </c>
      <c r="AI67" s="13">
        <f t="shared" si="35"/>
        <v>143</v>
      </c>
      <c r="AJ67" s="13">
        <f t="shared" si="35"/>
        <v>143</v>
      </c>
      <c r="AK67" s="13">
        <f t="shared" si="35"/>
        <v>143</v>
      </c>
      <c r="AL67" s="13">
        <f t="shared" si="35"/>
        <v>143</v>
      </c>
      <c r="AM67" s="13">
        <f t="shared" si="35"/>
        <v>143</v>
      </c>
      <c r="AN67" s="13">
        <f t="shared" si="35"/>
        <v>143</v>
      </c>
      <c r="AO67" s="13">
        <f t="shared" si="35"/>
        <v>143</v>
      </c>
      <c r="AP67" s="13">
        <f t="shared" si="35"/>
        <v>143</v>
      </c>
      <c r="AQ67" s="13">
        <f t="shared" si="35"/>
        <v>143</v>
      </c>
      <c r="AR67" s="13">
        <f t="shared" si="35"/>
        <v>143</v>
      </c>
      <c r="AS67" s="13">
        <f t="shared" si="35"/>
        <v>143</v>
      </c>
      <c r="AT67" s="13">
        <f t="shared" si="35"/>
        <v>143</v>
      </c>
      <c r="AU67" s="13">
        <f t="shared" si="35"/>
        <v>143</v>
      </c>
    </row>
    <row r="68" spans="1:47" hidden="1" x14ac:dyDescent="0.3">
      <c r="A68" s="14">
        <v>8</v>
      </c>
      <c r="C68" s="13">
        <f t="shared" si="33"/>
        <v>0</v>
      </c>
      <c r="D68" s="13">
        <f t="shared" si="33"/>
        <v>0</v>
      </c>
      <c r="E68" s="13">
        <f t="shared" si="33"/>
        <v>249</v>
      </c>
      <c r="F68" s="13">
        <f t="shared" si="33"/>
        <v>249</v>
      </c>
      <c r="G68" s="13">
        <f t="shared" si="33"/>
        <v>0</v>
      </c>
      <c r="H68" s="13">
        <f t="shared" si="33"/>
        <v>0</v>
      </c>
      <c r="I68" s="13">
        <f t="shared" si="33"/>
        <v>0</v>
      </c>
      <c r="J68" s="13">
        <f t="shared" si="33"/>
        <v>0</v>
      </c>
      <c r="K68" s="13">
        <f t="shared" si="33"/>
        <v>211</v>
      </c>
      <c r="L68" s="13">
        <f t="shared" si="33"/>
        <v>216</v>
      </c>
      <c r="M68" s="13">
        <f t="shared" si="33"/>
        <v>0</v>
      </c>
      <c r="N68" s="13">
        <f t="shared" si="33"/>
        <v>0</v>
      </c>
      <c r="O68" s="13">
        <f t="shared" si="33"/>
        <v>0</v>
      </c>
      <c r="Q68" s="14">
        <v>8</v>
      </c>
      <c r="S68" s="13">
        <f t="shared" si="34"/>
        <v>0</v>
      </c>
      <c r="T68" s="13">
        <f t="shared" si="34"/>
        <v>0</v>
      </c>
      <c r="U68" s="13">
        <f t="shared" si="34"/>
        <v>0</v>
      </c>
      <c r="V68" s="13">
        <f t="shared" si="34"/>
        <v>0</v>
      </c>
      <c r="W68" s="13">
        <f t="shared" si="34"/>
        <v>0</v>
      </c>
      <c r="X68" s="13">
        <f t="shared" si="34"/>
        <v>0</v>
      </c>
      <c r="Y68" s="13">
        <f t="shared" si="34"/>
        <v>0</v>
      </c>
      <c r="Z68" s="13">
        <f t="shared" si="34"/>
        <v>0</v>
      </c>
      <c r="AA68" s="13">
        <f t="shared" si="34"/>
        <v>0</v>
      </c>
      <c r="AB68" s="13">
        <f t="shared" si="34"/>
        <v>0</v>
      </c>
      <c r="AC68" s="13">
        <f t="shared" si="34"/>
        <v>0</v>
      </c>
      <c r="AD68" s="13">
        <f t="shared" si="34"/>
        <v>0</v>
      </c>
      <c r="AE68" s="13">
        <f t="shared" si="34"/>
        <v>0</v>
      </c>
      <c r="AG68" s="14">
        <v>8</v>
      </c>
      <c r="AI68" s="13">
        <f t="shared" si="35"/>
        <v>143</v>
      </c>
      <c r="AJ68" s="13">
        <f t="shared" si="35"/>
        <v>143</v>
      </c>
      <c r="AK68" s="13">
        <f t="shared" si="35"/>
        <v>143</v>
      </c>
      <c r="AL68" s="13">
        <f t="shared" si="35"/>
        <v>141</v>
      </c>
      <c r="AM68" s="13">
        <f t="shared" si="35"/>
        <v>143</v>
      </c>
      <c r="AN68" s="13">
        <f t="shared" si="35"/>
        <v>143</v>
      </c>
      <c r="AO68" s="13">
        <f t="shared" si="35"/>
        <v>143</v>
      </c>
      <c r="AP68" s="13">
        <f t="shared" si="35"/>
        <v>143</v>
      </c>
      <c r="AQ68" s="13">
        <f t="shared" si="35"/>
        <v>145</v>
      </c>
      <c r="AR68" s="13">
        <f t="shared" si="35"/>
        <v>145</v>
      </c>
      <c r="AS68" s="13">
        <f t="shared" si="35"/>
        <v>143</v>
      </c>
      <c r="AT68" s="13">
        <f t="shared" si="35"/>
        <v>143</v>
      </c>
      <c r="AU68" s="13">
        <f t="shared" si="35"/>
        <v>143</v>
      </c>
    </row>
    <row r="69" spans="1:47" hidden="1" x14ac:dyDescent="0.3">
      <c r="A69" s="14">
        <v>9</v>
      </c>
      <c r="C69" s="13">
        <f t="shared" si="33"/>
        <v>0</v>
      </c>
      <c r="D69" s="13">
        <f t="shared" si="33"/>
        <v>0</v>
      </c>
      <c r="E69" s="13">
        <f t="shared" si="33"/>
        <v>227</v>
      </c>
      <c r="F69" s="13">
        <f t="shared" si="33"/>
        <v>233</v>
      </c>
      <c r="G69" s="13">
        <f t="shared" si="33"/>
        <v>0</v>
      </c>
      <c r="H69" s="13">
        <f t="shared" si="33"/>
        <v>0</v>
      </c>
      <c r="I69" s="13">
        <f t="shared" si="33"/>
        <v>0</v>
      </c>
      <c r="J69" s="13">
        <f t="shared" si="33"/>
        <v>0</v>
      </c>
      <c r="K69" s="13">
        <f t="shared" si="33"/>
        <v>201</v>
      </c>
      <c r="L69" s="13">
        <f t="shared" si="33"/>
        <v>196</v>
      </c>
      <c r="M69" s="13">
        <f t="shared" si="33"/>
        <v>0</v>
      </c>
      <c r="N69" s="13">
        <f t="shared" si="33"/>
        <v>0</v>
      </c>
      <c r="O69" s="13">
        <f t="shared" si="33"/>
        <v>0</v>
      </c>
      <c r="Q69" s="14">
        <v>9</v>
      </c>
      <c r="S69" s="13">
        <f t="shared" si="34"/>
        <v>0</v>
      </c>
      <c r="T69" s="13">
        <f t="shared" si="34"/>
        <v>0</v>
      </c>
      <c r="U69" s="13">
        <f t="shared" si="34"/>
        <v>0</v>
      </c>
      <c r="V69" s="13">
        <f t="shared" si="34"/>
        <v>145</v>
      </c>
      <c r="W69" s="13">
        <f t="shared" si="34"/>
        <v>159</v>
      </c>
      <c r="X69" s="13">
        <f t="shared" si="34"/>
        <v>159</v>
      </c>
      <c r="Y69" s="13">
        <f t="shared" si="34"/>
        <v>149</v>
      </c>
      <c r="Z69" s="13">
        <f t="shared" si="34"/>
        <v>159</v>
      </c>
      <c r="AA69" s="13">
        <f t="shared" si="34"/>
        <v>149</v>
      </c>
      <c r="AB69" s="13">
        <f t="shared" si="34"/>
        <v>0</v>
      </c>
      <c r="AC69" s="13">
        <f t="shared" si="34"/>
        <v>0</v>
      </c>
      <c r="AD69" s="13">
        <f t="shared" si="34"/>
        <v>0</v>
      </c>
      <c r="AE69" s="13">
        <f t="shared" si="34"/>
        <v>0</v>
      </c>
      <c r="AG69" s="14">
        <v>9</v>
      </c>
      <c r="AI69" s="13">
        <f t="shared" si="35"/>
        <v>143</v>
      </c>
      <c r="AJ69" s="13">
        <f t="shared" si="35"/>
        <v>143</v>
      </c>
      <c r="AK69" s="13">
        <f t="shared" si="35"/>
        <v>139</v>
      </c>
      <c r="AL69" s="13">
        <f t="shared" si="35"/>
        <v>24</v>
      </c>
      <c r="AM69" s="13">
        <f t="shared" si="35"/>
        <v>143</v>
      </c>
      <c r="AN69" s="13">
        <f t="shared" si="35"/>
        <v>143</v>
      </c>
      <c r="AO69" s="13">
        <f t="shared" si="35"/>
        <v>143</v>
      </c>
      <c r="AP69" s="13">
        <f t="shared" si="35"/>
        <v>143</v>
      </c>
      <c r="AQ69" s="13">
        <f t="shared" si="35"/>
        <v>255</v>
      </c>
      <c r="AR69" s="13">
        <f t="shared" si="35"/>
        <v>146</v>
      </c>
      <c r="AS69" s="13">
        <f t="shared" si="35"/>
        <v>143</v>
      </c>
      <c r="AT69" s="13">
        <f t="shared" si="35"/>
        <v>143</v>
      </c>
      <c r="AU69" s="13">
        <f t="shared" si="35"/>
        <v>143</v>
      </c>
    </row>
    <row r="70" spans="1:47" hidden="1" x14ac:dyDescent="0.3">
      <c r="A70" s="14">
        <v>10</v>
      </c>
      <c r="C70" s="13">
        <f t="shared" si="33"/>
        <v>0</v>
      </c>
      <c r="D70" s="13">
        <f t="shared" si="33"/>
        <v>0</v>
      </c>
      <c r="E70" s="13">
        <f t="shared" si="33"/>
        <v>23</v>
      </c>
      <c r="F70" s="13">
        <f t="shared" si="33"/>
        <v>20</v>
      </c>
      <c r="G70" s="13">
        <f t="shared" si="33"/>
        <v>0</v>
      </c>
      <c r="H70" s="13">
        <f t="shared" si="33"/>
        <v>0</v>
      </c>
      <c r="I70" s="13">
        <f t="shared" si="33"/>
        <v>0</v>
      </c>
      <c r="J70" s="13">
        <f t="shared" si="33"/>
        <v>0</v>
      </c>
      <c r="K70" s="13">
        <f t="shared" si="33"/>
        <v>13</v>
      </c>
      <c r="L70" s="13">
        <f t="shared" si="33"/>
        <v>12</v>
      </c>
      <c r="M70" s="13">
        <f t="shared" si="33"/>
        <v>0</v>
      </c>
      <c r="N70" s="13">
        <f t="shared" si="33"/>
        <v>0</v>
      </c>
      <c r="O70" s="13">
        <f t="shared" si="33"/>
        <v>0</v>
      </c>
      <c r="Q70" s="14">
        <v>10</v>
      </c>
      <c r="S70" s="13">
        <f t="shared" si="34"/>
        <v>0</v>
      </c>
      <c r="T70" s="13">
        <f t="shared" si="34"/>
        <v>0</v>
      </c>
      <c r="U70" s="13">
        <f t="shared" si="34"/>
        <v>14</v>
      </c>
      <c r="V70" s="13">
        <f t="shared" si="34"/>
        <v>140</v>
      </c>
      <c r="W70" s="13">
        <f t="shared" si="34"/>
        <v>154</v>
      </c>
      <c r="X70" s="13">
        <f t="shared" si="34"/>
        <v>154</v>
      </c>
      <c r="Y70" s="13">
        <f t="shared" si="34"/>
        <v>159</v>
      </c>
      <c r="Z70" s="13">
        <f t="shared" si="34"/>
        <v>154</v>
      </c>
      <c r="AA70" s="13">
        <f t="shared" si="34"/>
        <v>135</v>
      </c>
      <c r="AB70" s="13">
        <f t="shared" si="34"/>
        <v>0</v>
      </c>
      <c r="AC70" s="13">
        <f t="shared" si="34"/>
        <v>0</v>
      </c>
      <c r="AD70" s="13">
        <f t="shared" si="34"/>
        <v>0</v>
      </c>
      <c r="AE70" s="13">
        <f t="shared" si="34"/>
        <v>0</v>
      </c>
      <c r="AG70" s="14">
        <v>10</v>
      </c>
      <c r="AI70" s="13">
        <f t="shared" si="35"/>
        <v>143</v>
      </c>
      <c r="AJ70" s="13">
        <f t="shared" si="35"/>
        <v>143</v>
      </c>
      <c r="AK70" s="13">
        <f t="shared" si="35"/>
        <v>155</v>
      </c>
      <c r="AL70" s="13">
        <f t="shared" si="35"/>
        <v>109</v>
      </c>
      <c r="AM70" s="13">
        <f t="shared" si="35"/>
        <v>143</v>
      </c>
      <c r="AN70" s="13">
        <f t="shared" si="35"/>
        <v>143</v>
      </c>
      <c r="AO70" s="13">
        <f t="shared" si="35"/>
        <v>143</v>
      </c>
      <c r="AP70" s="13">
        <f t="shared" si="35"/>
        <v>143</v>
      </c>
      <c r="AQ70" s="13">
        <f t="shared" si="35"/>
        <v>170</v>
      </c>
      <c r="AR70" s="13">
        <f t="shared" si="35"/>
        <v>143</v>
      </c>
      <c r="AS70" s="13">
        <f t="shared" si="35"/>
        <v>143</v>
      </c>
      <c r="AT70" s="13">
        <f t="shared" si="35"/>
        <v>143</v>
      </c>
      <c r="AU70" s="13">
        <f t="shared" si="35"/>
        <v>143</v>
      </c>
    </row>
    <row r="71" spans="1:47" hidden="1" x14ac:dyDescent="0.3">
      <c r="A71" s="14">
        <v>11</v>
      </c>
      <c r="C71" s="13">
        <f t="shared" si="33"/>
        <v>0</v>
      </c>
      <c r="D71" s="13">
        <f t="shared" si="33"/>
        <v>19</v>
      </c>
      <c r="E71" s="13">
        <f t="shared" si="33"/>
        <v>19</v>
      </c>
      <c r="F71" s="13">
        <f t="shared" si="33"/>
        <v>0</v>
      </c>
      <c r="G71" s="13">
        <f t="shared" si="33"/>
        <v>0</v>
      </c>
      <c r="H71" s="13">
        <f t="shared" si="33"/>
        <v>0</v>
      </c>
      <c r="I71" s="13">
        <f t="shared" si="33"/>
        <v>0</v>
      </c>
      <c r="J71" s="13">
        <f t="shared" si="33"/>
        <v>0</v>
      </c>
      <c r="K71" s="13">
        <f t="shared" si="33"/>
        <v>9</v>
      </c>
      <c r="L71" s="13">
        <f t="shared" si="33"/>
        <v>10</v>
      </c>
      <c r="M71" s="13">
        <f t="shared" si="33"/>
        <v>0</v>
      </c>
      <c r="N71" s="13">
        <f t="shared" si="33"/>
        <v>0</v>
      </c>
      <c r="O71" s="13">
        <f t="shared" si="33"/>
        <v>0</v>
      </c>
      <c r="Q71" s="14">
        <v>11</v>
      </c>
      <c r="S71" s="13">
        <f t="shared" si="34"/>
        <v>0</v>
      </c>
      <c r="T71" s="13">
        <f t="shared" si="34"/>
        <v>22</v>
      </c>
      <c r="U71" s="13">
        <f t="shared" si="34"/>
        <v>21</v>
      </c>
      <c r="V71" s="13">
        <f t="shared" si="34"/>
        <v>0</v>
      </c>
      <c r="W71" s="13">
        <f t="shared" si="34"/>
        <v>0</v>
      </c>
      <c r="X71" s="13">
        <f t="shared" si="34"/>
        <v>0</v>
      </c>
      <c r="Y71" s="13">
        <f t="shared" si="34"/>
        <v>0</v>
      </c>
      <c r="Z71" s="13">
        <f t="shared" si="34"/>
        <v>0</v>
      </c>
      <c r="AA71" s="13">
        <f t="shared" si="34"/>
        <v>0</v>
      </c>
      <c r="AB71" s="13">
        <f t="shared" si="34"/>
        <v>0</v>
      </c>
      <c r="AC71" s="13">
        <f t="shared" si="34"/>
        <v>0</v>
      </c>
      <c r="AD71" s="13">
        <f t="shared" si="34"/>
        <v>0</v>
      </c>
      <c r="AE71" s="13">
        <f t="shared" si="34"/>
        <v>0</v>
      </c>
      <c r="AG71" s="14">
        <v>11</v>
      </c>
      <c r="AI71" s="13">
        <f t="shared" si="35"/>
        <v>143</v>
      </c>
      <c r="AJ71" s="13">
        <f t="shared" si="35"/>
        <v>156</v>
      </c>
      <c r="AK71" s="13">
        <f t="shared" si="35"/>
        <v>156</v>
      </c>
      <c r="AL71" s="13">
        <f t="shared" si="35"/>
        <v>143</v>
      </c>
      <c r="AM71" s="13">
        <f t="shared" si="35"/>
        <v>143</v>
      </c>
      <c r="AN71" s="13">
        <f t="shared" si="35"/>
        <v>143</v>
      </c>
      <c r="AO71" s="13">
        <f t="shared" si="35"/>
        <v>143</v>
      </c>
      <c r="AP71" s="13">
        <f t="shared" si="35"/>
        <v>143</v>
      </c>
      <c r="AQ71" s="13">
        <f t="shared" si="35"/>
        <v>143</v>
      </c>
      <c r="AR71" s="13">
        <f t="shared" si="35"/>
        <v>143</v>
      </c>
      <c r="AS71" s="13">
        <f t="shared" si="35"/>
        <v>143</v>
      </c>
      <c r="AT71" s="13">
        <f t="shared" si="35"/>
        <v>143</v>
      </c>
      <c r="AU71" s="13">
        <f t="shared" si="35"/>
        <v>143</v>
      </c>
    </row>
    <row r="72" spans="1:47" hidden="1" x14ac:dyDescent="0.3">
      <c r="A72" s="14">
        <v>12</v>
      </c>
      <c r="C72" s="13">
        <f t="shared" si="33"/>
        <v>19</v>
      </c>
      <c r="D72" s="13">
        <f t="shared" si="33"/>
        <v>20</v>
      </c>
      <c r="E72" s="13">
        <f t="shared" si="33"/>
        <v>0</v>
      </c>
      <c r="F72" s="13">
        <f t="shared" si="33"/>
        <v>0</v>
      </c>
      <c r="G72" s="13">
        <f t="shared" si="33"/>
        <v>0</v>
      </c>
      <c r="H72" s="13">
        <f t="shared" si="33"/>
        <v>0</v>
      </c>
      <c r="I72" s="13">
        <f t="shared" si="33"/>
        <v>0</v>
      </c>
      <c r="J72" s="13">
        <f t="shared" si="33"/>
        <v>0</v>
      </c>
      <c r="K72" s="13">
        <f t="shared" si="33"/>
        <v>10</v>
      </c>
      <c r="L72" s="13">
        <f t="shared" si="33"/>
        <v>8</v>
      </c>
      <c r="M72" s="13">
        <f t="shared" si="33"/>
        <v>0</v>
      </c>
      <c r="N72" s="13">
        <f t="shared" si="33"/>
        <v>0</v>
      </c>
      <c r="O72" s="13">
        <f t="shared" si="33"/>
        <v>0</v>
      </c>
      <c r="Q72" s="14">
        <v>12</v>
      </c>
      <c r="S72" s="13">
        <f t="shared" si="34"/>
        <v>0</v>
      </c>
      <c r="T72" s="13">
        <f t="shared" si="34"/>
        <v>22</v>
      </c>
      <c r="U72" s="13">
        <f t="shared" si="34"/>
        <v>0</v>
      </c>
      <c r="V72" s="13">
        <f t="shared" si="34"/>
        <v>0</v>
      </c>
      <c r="W72" s="13">
        <f t="shared" si="34"/>
        <v>0</v>
      </c>
      <c r="X72" s="13">
        <f t="shared" si="34"/>
        <v>0</v>
      </c>
      <c r="Y72" s="13">
        <f t="shared" si="34"/>
        <v>0</v>
      </c>
      <c r="Z72" s="13">
        <f t="shared" si="34"/>
        <v>0</v>
      </c>
      <c r="AA72" s="13">
        <f t="shared" si="34"/>
        <v>0</v>
      </c>
      <c r="AB72" s="13">
        <f t="shared" si="34"/>
        <v>0</v>
      </c>
      <c r="AC72" s="13">
        <f t="shared" si="34"/>
        <v>0</v>
      </c>
      <c r="AD72" s="13">
        <f t="shared" si="34"/>
        <v>0</v>
      </c>
      <c r="AE72" s="13">
        <f t="shared" si="34"/>
        <v>0</v>
      </c>
      <c r="AG72" s="14">
        <v>12</v>
      </c>
      <c r="AI72" s="13">
        <f t="shared" si="35"/>
        <v>144</v>
      </c>
      <c r="AJ72" s="13">
        <f t="shared" si="35"/>
        <v>157</v>
      </c>
      <c r="AK72" s="13">
        <f t="shared" si="35"/>
        <v>143</v>
      </c>
      <c r="AL72" s="13">
        <f t="shared" si="35"/>
        <v>143</v>
      </c>
      <c r="AM72" s="13">
        <f t="shared" si="35"/>
        <v>143</v>
      </c>
      <c r="AN72" s="13">
        <f t="shared" si="35"/>
        <v>143</v>
      </c>
      <c r="AO72" s="13">
        <f t="shared" si="35"/>
        <v>143</v>
      </c>
      <c r="AP72" s="13">
        <f t="shared" si="35"/>
        <v>143</v>
      </c>
      <c r="AQ72" s="13">
        <f t="shared" si="35"/>
        <v>143</v>
      </c>
      <c r="AR72" s="13">
        <f t="shared" si="35"/>
        <v>143</v>
      </c>
      <c r="AS72" s="13">
        <f t="shared" si="35"/>
        <v>143</v>
      </c>
      <c r="AT72" s="13">
        <f t="shared" si="35"/>
        <v>143</v>
      </c>
      <c r="AU72" s="13">
        <f t="shared" si="35"/>
        <v>143</v>
      </c>
    </row>
    <row r="73" spans="1:47" hidden="1" x14ac:dyDescent="0.3"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x14ac:dyDescent="0.3">
      <c r="A74" s="17" t="s">
        <v>14</v>
      </c>
    </row>
    <row r="75" spans="1:47" x14ac:dyDescent="0.3">
      <c r="G75" s="12" t="s">
        <v>7</v>
      </c>
      <c r="W75" s="12" t="s">
        <v>9</v>
      </c>
      <c r="AK75" s="12" t="s">
        <v>10</v>
      </c>
    </row>
    <row r="76" spans="1:47" x14ac:dyDescent="0.3">
      <c r="C76" s="14">
        <v>0</v>
      </c>
      <c r="D76" s="14">
        <v>1</v>
      </c>
      <c r="E76" s="14">
        <v>2</v>
      </c>
      <c r="F76" s="14">
        <v>3</v>
      </c>
      <c r="G76" s="14">
        <v>4</v>
      </c>
      <c r="H76" s="14">
        <v>5</v>
      </c>
      <c r="I76" s="14">
        <v>6</v>
      </c>
      <c r="J76" s="14">
        <v>7</v>
      </c>
      <c r="K76" s="14">
        <v>8</v>
      </c>
      <c r="L76" s="14">
        <v>9</v>
      </c>
      <c r="M76" s="14">
        <v>10</v>
      </c>
      <c r="N76" s="14">
        <v>11</v>
      </c>
      <c r="O76" s="14">
        <v>12</v>
      </c>
      <c r="S76" s="14">
        <v>0</v>
      </c>
      <c r="T76" s="14">
        <v>1</v>
      </c>
      <c r="U76" s="14">
        <v>2</v>
      </c>
      <c r="V76" s="14">
        <v>3</v>
      </c>
      <c r="W76" s="14">
        <v>4</v>
      </c>
      <c r="X76" s="14">
        <v>5</v>
      </c>
      <c r="Y76" s="14">
        <v>6</v>
      </c>
      <c r="Z76" s="14">
        <v>7</v>
      </c>
      <c r="AA76" s="14">
        <v>8</v>
      </c>
      <c r="AB76" s="14">
        <v>9</v>
      </c>
      <c r="AC76" s="14">
        <v>10</v>
      </c>
      <c r="AD76" s="14">
        <v>11</v>
      </c>
      <c r="AE76" s="14">
        <v>12</v>
      </c>
      <c r="AI76" s="14">
        <v>0</v>
      </c>
      <c r="AJ76" s="14">
        <v>1</v>
      </c>
      <c r="AK76" s="14">
        <v>2</v>
      </c>
      <c r="AL76" s="14">
        <v>3</v>
      </c>
      <c r="AM76" s="14">
        <v>4</v>
      </c>
      <c r="AN76" s="14">
        <v>5</v>
      </c>
      <c r="AO76" s="14">
        <v>6</v>
      </c>
      <c r="AP76" s="14">
        <v>7</v>
      </c>
      <c r="AQ76" s="14">
        <v>8</v>
      </c>
      <c r="AR76" s="14">
        <v>9</v>
      </c>
      <c r="AS76" s="14">
        <v>10</v>
      </c>
      <c r="AT76" s="14">
        <v>11</v>
      </c>
      <c r="AU76" s="14">
        <v>12</v>
      </c>
    </row>
    <row r="78" spans="1:47" x14ac:dyDescent="0.3">
      <c r="A78" s="14">
        <v>0</v>
      </c>
      <c r="C78" s="13">
        <f>ROUND(SUMPRODUCT(B39:D41,$AN$29:$AP$31),0)</f>
        <v>2</v>
      </c>
      <c r="D78" s="13">
        <f t="shared" ref="D78:O78" si="36">ROUND(SUMPRODUCT(C39:E41,$AN$29:$AP$31),0)</f>
        <v>1</v>
      </c>
      <c r="E78" s="13">
        <f t="shared" si="36"/>
        <v>0</v>
      </c>
      <c r="F78" s="13">
        <f t="shared" si="36"/>
        <v>1</v>
      </c>
      <c r="G78" s="13">
        <f t="shared" si="36"/>
        <v>33</v>
      </c>
      <c r="H78" s="13">
        <f t="shared" si="36"/>
        <v>155</v>
      </c>
      <c r="I78" s="13">
        <f t="shared" si="36"/>
        <v>153</v>
      </c>
      <c r="J78" s="13">
        <f t="shared" si="36"/>
        <v>31</v>
      </c>
      <c r="K78" s="13">
        <f t="shared" si="36"/>
        <v>0</v>
      </c>
      <c r="L78" s="13">
        <f t="shared" si="36"/>
        <v>0</v>
      </c>
      <c r="M78" s="13">
        <f t="shared" si="36"/>
        <v>0</v>
      </c>
      <c r="N78" s="13">
        <f t="shared" si="36"/>
        <v>0</v>
      </c>
      <c r="O78" s="13">
        <f t="shared" si="36"/>
        <v>0</v>
      </c>
      <c r="Q78" s="14">
        <v>0</v>
      </c>
      <c r="S78" s="13">
        <f>ROUND(SUMPRODUCT(R39:T41,$AN$29:$AP$31),0)</f>
        <v>1</v>
      </c>
      <c r="T78" s="13">
        <f t="shared" ref="T78:AE78" si="37">ROUND(SUMPRODUCT(S39:U41,$AN$29:$AP$31),0)</f>
        <v>1</v>
      </c>
      <c r="U78" s="13">
        <f t="shared" si="37"/>
        <v>1</v>
      </c>
      <c r="V78" s="13">
        <f t="shared" si="37"/>
        <v>1</v>
      </c>
      <c r="W78" s="13">
        <f t="shared" si="37"/>
        <v>103</v>
      </c>
      <c r="X78" s="13">
        <f t="shared" si="37"/>
        <v>411</v>
      </c>
      <c r="Y78" s="13">
        <f t="shared" si="37"/>
        <v>103</v>
      </c>
      <c r="Z78" s="13">
        <f t="shared" si="37"/>
        <v>0</v>
      </c>
      <c r="AA78" s="13">
        <f t="shared" si="37"/>
        <v>0</v>
      </c>
      <c r="AB78" s="13">
        <f t="shared" si="37"/>
        <v>0</v>
      </c>
      <c r="AC78" s="13">
        <f t="shared" si="37"/>
        <v>0</v>
      </c>
      <c r="AD78" s="13">
        <f t="shared" si="37"/>
        <v>1</v>
      </c>
      <c r="AE78" s="13">
        <f t="shared" si="37"/>
        <v>0</v>
      </c>
      <c r="AG78" s="14">
        <v>0</v>
      </c>
      <c r="AI78" s="13">
        <f>ROUND(SUMPRODUCT(AH39:AJ41,$AN$29:$AP$31),0)</f>
        <v>1</v>
      </c>
      <c r="AJ78" s="13">
        <f t="shared" ref="AJ78:AU78" si="38">ROUND(SUMPRODUCT(AI39:AK41,$AN$29:$AP$31),0)</f>
        <v>0</v>
      </c>
      <c r="AK78" s="13">
        <f t="shared" si="38"/>
        <v>0</v>
      </c>
      <c r="AL78" s="13">
        <f t="shared" si="38"/>
        <v>0</v>
      </c>
      <c r="AM78" s="13">
        <f t="shared" si="38"/>
        <v>-26</v>
      </c>
      <c r="AN78" s="13">
        <f t="shared" si="38"/>
        <v>-108</v>
      </c>
      <c r="AO78" s="13">
        <f t="shared" si="38"/>
        <v>-31</v>
      </c>
      <c r="AP78" s="13">
        <f t="shared" si="38"/>
        <v>-1</v>
      </c>
      <c r="AQ78" s="13">
        <f t="shared" si="38"/>
        <v>0</v>
      </c>
      <c r="AR78" s="13">
        <f t="shared" si="38"/>
        <v>0</v>
      </c>
      <c r="AS78" s="13">
        <f t="shared" si="38"/>
        <v>0</v>
      </c>
      <c r="AT78" s="13">
        <f t="shared" si="38"/>
        <v>0</v>
      </c>
      <c r="AU78" s="13">
        <f t="shared" si="38"/>
        <v>0</v>
      </c>
    </row>
    <row r="79" spans="1:47" x14ac:dyDescent="0.3">
      <c r="A79" s="14">
        <v>1</v>
      </c>
      <c r="C79" s="13">
        <f t="shared" ref="C79:O90" si="39">ROUND(SUMPRODUCT(B40:D42,$AN$29:$AP$31),0)</f>
        <v>0</v>
      </c>
      <c r="D79" s="13">
        <f t="shared" si="39"/>
        <v>0</v>
      </c>
      <c r="E79" s="13">
        <f t="shared" si="39"/>
        <v>0</v>
      </c>
      <c r="F79" s="13">
        <f t="shared" si="39"/>
        <v>111</v>
      </c>
      <c r="G79" s="13">
        <f t="shared" si="39"/>
        <v>478</v>
      </c>
      <c r="H79" s="13">
        <f t="shared" si="39"/>
        <v>460</v>
      </c>
      <c r="I79" s="13">
        <f t="shared" si="39"/>
        <v>855</v>
      </c>
      <c r="J79" s="13">
        <f t="shared" si="39"/>
        <v>205</v>
      </c>
      <c r="K79" s="13">
        <f t="shared" si="39"/>
        <v>0</v>
      </c>
      <c r="L79" s="13">
        <f t="shared" si="39"/>
        <v>0</v>
      </c>
      <c r="M79" s="13">
        <f t="shared" si="39"/>
        <v>0</v>
      </c>
      <c r="N79" s="13">
        <f t="shared" si="39"/>
        <v>0</v>
      </c>
      <c r="O79" s="13">
        <f t="shared" si="39"/>
        <v>0</v>
      </c>
      <c r="Q79" s="14">
        <v>1</v>
      </c>
      <c r="S79" s="13">
        <f t="shared" ref="S79:AE79" si="40">ROUND(SUMPRODUCT(R40:T42,$AN$29:$AP$31),0)</f>
        <v>0</v>
      </c>
      <c r="T79" s="13">
        <f t="shared" si="40"/>
        <v>1</v>
      </c>
      <c r="U79" s="13">
        <f t="shared" si="40"/>
        <v>1</v>
      </c>
      <c r="V79" s="13">
        <f t="shared" si="40"/>
        <v>111</v>
      </c>
      <c r="W79" s="13">
        <f t="shared" si="40"/>
        <v>970</v>
      </c>
      <c r="X79" s="13">
        <f t="shared" si="40"/>
        <v>2398</v>
      </c>
      <c r="Y79" s="13">
        <f t="shared" si="40"/>
        <v>1186</v>
      </c>
      <c r="Z79" s="13">
        <f t="shared" si="40"/>
        <v>164</v>
      </c>
      <c r="AA79" s="13">
        <f t="shared" si="40"/>
        <v>0</v>
      </c>
      <c r="AB79" s="13">
        <f t="shared" si="40"/>
        <v>0</v>
      </c>
      <c r="AC79" s="13">
        <f t="shared" si="40"/>
        <v>1</v>
      </c>
      <c r="AD79" s="13">
        <f t="shared" si="40"/>
        <v>1</v>
      </c>
      <c r="AE79" s="13">
        <f t="shared" si="40"/>
        <v>0</v>
      </c>
      <c r="AG79" s="14">
        <v>1</v>
      </c>
      <c r="AI79" s="13">
        <f t="shared" ref="AI79:AU79" si="41">ROUND(SUMPRODUCT(AH40:AJ42,$AN$29:$AP$31),0)</f>
        <v>0</v>
      </c>
      <c r="AJ79" s="13">
        <f t="shared" si="41"/>
        <v>0</v>
      </c>
      <c r="AK79" s="13">
        <f t="shared" si="41"/>
        <v>0</v>
      </c>
      <c r="AL79" s="13">
        <f t="shared" si="41"/>
        <v>110</v>
      </c>
      <c r="AM79" s="13">
        <f t="shared" si="41"/>
        <v>314</v>
      </c>
      <c r="AN79" s="13">
        <f t="shared" si="41"/>
        <v>-565</v>
      </c>
      <c r="AO79" s="13">
        <f t="shared" si="41"/>
        <v>-796</v>
      </c>
      <c r="AP79" s="13">
        <f t="shared" si="41"/>
        <v>-168</v>
      </c>
      <c r="AQ79" s="13">
        <f t="shared" si="41"/>
        <v>0</v>
      </c>
      <c r="AR79" s="13">
        <f t="shared" si="41"/>
        <v>0</v>
      </c>
      <c r="AS79" s="13">
        <f t="shared" si="41"/>
        <v>0</v>
      </c>
      <c r="AT79" s="13">
        <f t="shared" si="41"/>
        <v>0</v>
      </c>
      <c r="AU79" s="13">
        <f t="shared" si="41"/>
        <v>0</v>
      </c>
    </row>
    <row r="80" spans="1:47" x14ac:dyDescent="0.3">
      <c r="A80" s="14">
        <v>2</v>
      </c>
      <c r="C80" s="13">
        <f t="shared" si="39"/>
        <v>0</v>
      </c>
      <c r="D80" s="13">
        <f t="shared" si="39"/>
        <v>0</v>
      </c>
      <c r="E80" s="13">
        <f t="shared" si="39"/>
        <v>110</v>
      </c>
      <c r="F80" s="13">
        <f t="shared" si="39"/>
        <v>986</v>
      </c>
      <c r="G80" s="13">
        <f t="shared" si="39"/>
        <v>2331</v>
      </c>
      <c r="H80" s="13">
        <f t="shared" si="39"/>
        <v>1488</v>
      </c>
      <c r="I80" s="13">
        <f t="shared" si="39"/>
        <v>3507</v>
      </c>
      <c r="J80" s="13">
        <f t="shared" si="39"/>
        <v>1438</v>
      </c>
      <c r="K80" s="13">
        <f t="shared" si="39"/>
        <v>153</v>
      </c>
      <c r="L80" s="13">
        <f t="shared" si="39"/>
        <v>1</v>
      </c>
      <c r="M80" s="13">
        <f t="shared" si="39"/>
        <v>0</v>
      </c>
      <c r="N80" s="13">
        <f t="shared" si="39"/>
        <v>0</v>
      </c>
      <c r="O80" s="13">
        <f t="shared" si="39"/>
        <v>0</v>
      </c>
      <c r="Q80" s="14">
        <v>2</v>
      </c>
      <c r="S80" s="13">
        <f t="shared" ref="S80:AE80" si="42">ROUND(SUMPRODUCT(R41:T43,$AN$29:$AP$31),0)</f>
        <v>1</v>
      </c>
      <c r="T80" s="13">
        <f t="shared" si="42"/>
        <v>1</v>
      </c>
      <c r="U80" s="13">
        <f t="shared" si="42"/>
        <v>110</v>
      </c>
      <c r="V80" s="13">
        <f t="shared" si="42"/>
        <v>990</v>
      </c>
      <c r="W80" s="13">
        <f t="shared" si="42"/>
        <v>2900</v>
      </c>
      <c r="X80" s="13">
        <f t="shared" si="42"/>
        <v>3721</v>
      </c>
      <c r="Y80" s="13">
        <f t="shared" si="42"/>
        <v>4092</v>
      </c>
      <c r="Z80" s="13">
        <f t="shared" si="42"/>
        <v>1728</v>
      </c>
      <c r="AA80" s="13">
        <f t="shared" si="42"/>
        <v>870</v>
      </c>
      <c r="AB80" s="13">
        <f t="shared" si="42"/>
        <v>173</v>
      </c>
      <c r="AC80" s="13">
        <f t="shared" si="42"/>
        <v>1</v>
      </c>
      <c r="AD80" s="13">
        <f t="shared" si="42"/>
        <v>1</v>
      </c>
      <c r="AE80" s="13">
        <f t="shared" si="42"/>
        <v>0</v>
      </c>
      <c r="AG80" s="14">
        <v>2</v>
      </c>
      <c r="AI80" s="13">
        <f t="shared" ref="AI80:AU80" si="43">ROUND(SUMPRODUCT(AH41:AJ43,$AN$29:$AP$31),0)</f>
        <v>0</v>
      </c>
      <c r="AJ80" s="13">
        <f t="shared" si="43"/>
        <v>0</v>
      </c>
      <c r="AK80" s="13">
        <f t="shared" si="43"/>
        <v>110</v>
      </c>
      <c r="AL80" s="13">
        <f t="shared" si="43"/>
        <v>988</v>
      </c>
      <c r="AM80" s="13">
        <f t="shared" si="43"/>
        <v>2182</v>
      </c>
      <c r="AN80" s="13">
        <f t="shared" si="43"/>
        <v>-788</v>
      </c>
      <c r="AO80" s="13">
        <f t="shared" si="43"/>
        <v>-3606</v>
      </c>
      <c r="AP80" s="13">
        <f t="shared" si="43"/>
        <v>-1495</v>
      </c>
      <c r="AQ80" s="13">
        <f t="shared" si="43"/>
        <v>-184</v>
      </c>
      <c r="AR80" s="13">
        <f t="shared" si="43"/>
        <v>-6</v>
      </c>
      <c r="AS80" s="13">
        <f t="shared" si="43"/>
        <v>0</v>
      </c>
      <c r="AT80" s="13">
        <f t="shared" si="43"/>
        <v>0</v>
      </c>
      <c r="AU80" s="13">
        <f t="shared" si="43"/>
        <v>0</v>
      </c>
    </row>
    <row r="81" spans="1:47" x14ac:dyDescent="0.3">
      <c r="A81" s="14">
        <v>3</v>
      </c>
      <c r="C81" s="13">
        <f t="shared" si="39"/>
        <v>2</v>
      </c>
      <c r="D81" s="13">
        <f t="shared" si="39"/>
        <v>117</v>
      </c>
      <c r="E81" s="13">
        <f t="shared" si="39"/>
        <v>1027</v>
      </c>
      <c r="F81" s="13">
        <f t="shared" si="39"/>
        <v>2913</v>
      </c>
      <c r="G81" s="13">
        <f t="shared" si="39"/>
        <v>2760</v>
      </c>
      <c r="H81" s="13">
        <f t="shared" si="39"/>
        <v>1403</v>
      </c>
      <c r="I81" s="13">
        <f t="shared" si="39"/>
        <v>3955</v>
      </c>
      <c r="J81" s="13">
        <f t="shared" si="39"/>
        <v>3425</v>
      </c>
      <c r="K81" s="13">
        <f t="shared" si="39"/>
        <v>1454</v>
      </c>
      <c r="L81" s="13">
        <f t="shared" si="39"/>
        <v>877</v>
      </c>
      <c r="M81" s="13">
        <f t="shared" si="39"/>
        <v>177</v>
      </c>
      <c r="N81" s="13">
        <f t="shared" si="39"/>
        <v>0</v>
      </c>
      <c r="O81" s="13">
        <f t="shared" si="39"/>
        <v>0</v>
      </c>
      <c r="Q81" s="14">
        <v>3</v>
      </c>
      <c r="S81" s="13">
        <f t="shared" ref="S81:AE81" si="44">ROUND(SUMPRODUCT(R42:T44,$AN$29:$AP$31),0)</f>
        <v>68</v>
      </c>
      <c r="T81" s="13">
        <f t="shared" si="44"/>
        <v>84</v>
      </c>
      <c r="U81" s="13">
        <f t="shared" si="44"/>
        <v>597</v>
      </c>
      <c r="V81" s="13">
        <f t="shared" si="44"/>
        <v>2724</v>
      </c>
      <c r="W81" s="13">
        <f t="shared" si="44"/>
        <v>2910</v>
      </c>
      <c r="X81" s="13">
        <f t="shared" si="44"/>
        <v>1931</v>
      </c>
      <c r="Y81" s="13">
        <f t="shared" si="44"/>
        <v>4504</v>
      </c>
      <c r="Z81" s="13">
        <f t="shared" si="44"/>
        <v>5309</v>
      </c>
      <c r="AA81" s="13">
        <f t="shared" si="44"/>
        <v>4310</v>
      </c>
      <c r="AB81" s="13">
        <f t="shared" si="44"/>
        <v>858</v>
      </c>
      <c r="AC81" s="13">
        <f t="shared" si="44"/>
        <v>2</v>
      </c>
      <c r="AD81" s="13">
        <f t="shared" si="44"/>
        <v>0</v>
      </c>
      <c r="AE81" s="13">
        <f t="shared" si="44"/>
        <v>0</v>
      </c>
      <c r="AG81" s="14">
        <v>3</v>
      </c>
      <c r="AI81" s="13">
        <f t="shared" ref="AI81:AU81" si="45">ROUND(SUMPRODUCT(AH42:AJ44,$AN$29:$AP$31),0)</f>
        <v>3</v>
      </c>
      <c r="AJ81" s="13">
        <f t="shared" si="45"/>
        <v>-33</v>
      </c>
      <c r="AK81" s="13">
        <f t="shared" si="45"/>
        <v>406</v>
      </c>
      <c r="AL81" s="13">
        <f t="shared" si="45"/>
        <v>2716</v>
      </c>
      <c r="AM81" s="13">
        <f t="shared" si="45"/>
        <v>2742</v>
      </c>
      <c r="AN81" s="13">
        <f t="shared" si="45"/>
        <v>-403</v>
      </c>
      <c r="AO81" s="13">
        <f t="shared" si="45"/>
        <v>-4109</v>
      </c>
      <c r="AP81" s="13">
        <f t="shared" si="45"/>
        <v>-3719</v>
      </c>
      <c r="AQ81" s="13">
        <f t="shared" si="45"/>
        <v>-1405</v>
      </c>
      <c r="AR81" s="13">
        <f t="shared" si="45"/>
        <v>-197</v>
      </c>
      <c r="AS81" s="13">
        <f t="shared" si="45"/>
        <v>-3</v>
      </c>
      <c r="AT81" s="13">
        <f t="shared" si="45"/>
        <v>0</v>
      </c>
      <c r="AU81" s="13">
        <f t="shared" si="45"/>
        <v>0</v>
      </c>
    </row>
    <row r="82" spans="1:47" x14ac:dyDescent="0.3">
      <c r="A82" s="14">
        <v>4</v>
      </c>
      <c r="C82" s="13">
        <f t="shared" si="39"/>
        <v>1</v>
      </c>
      <c r="D82" s="13">
        <f t="shared" si="39"/>
        <v>675</v>
      </c>
      <c r="E82" s="13">
        <f t="shared" si="39"/>
        <v>3515</v>
      </c>
      <c r="F82" s="13">
        <f t="shared" si="39"/>
        <v>4040</v>
      </c>
      <c r="G82" s="13">
        <f t="shared" si="39"/>
        <v>1254</v>
      </c>
      <c r="H82" s="13">
        <f t="shared" si="39"/>
        <v>280</v>
      </c>
      <c r="I82" s="13">
        <f t="shared" si="39"/>
        <v>830</v>
      </c>
      <c r="J82" s="13">
        <f t="shared" si="39"/>
        <v>1640</v>
      </c>
      <c r="K82" s="13">
        <f t="shared" si="39"/>
        <v>4488</v>
      </c>
      <c r="L82" s="13">
        <f t="shared" si="39"/>
        <v>4414</v>
      </c>
      <c r="M82" s="13">
        <f t="shared" si="39"/>
        <v>886</v>
      </c>
      <c r="N82" s="13">
        <f t="shared" si="39"/>
        <v>1</v>
      </c>
      <c r="O82" s="13">
        <f t="shared" si="39"/>
        <v>0</v>
      </c>
      <c r="Q82" s="14">
        <v>4</v>
      </c>
      <c r="S82" s="13">
        <f t="shared" ref="S82:AE82" si="46">ROUND(SUMPRODUCT(R43:T45,$AN$29:$AP$31),0)</f>
        <v>338</v>
      </c>
      <c r="T82" s="13">
        <f t="shared" si="46"/>
        <v>404</v>
      </c>
      <c r="U82" s="13">
        <f t="shared" si="46"/>
        <v>798</v>
      </c>
      <c r="V82" s="13">
        <f t="shared" si="46"/>
        <v>2197</v>
      </c>
      <c r="W82" s="13">
        <f t="shared" si="46"/>
        <v>959</v>
      </c>
      <c r="X82" s="13">
        <f t="shared" si="46"/>
        <v>295</v>
      </c>
      <c r="Y82" s="13">
        <f t="shared" si="46"/>
        <v>1580</v>
      </c>
      <c r="Z82" s="13">
        <f t="shared" si="46"/>
        <v>4485</v>
      </c>
      <c r="AA82" s="13">
        <f t="shared" si="46"/>
        <v>4178</v>
      </c>
      <c r="AB82" s="13">
        <f t="shared" si="46"/>
        <v>827</v>
      </c>
      <c r="AC82" s="13">
        <f t="shared" si="46"/>
        <v>1</v>
      </c>
      <c r="AD82" s="13">
        <f t="shared" si="46"/>
        <v>0</v>
      </c>
      <c r="AE82" s="13">
        <f t="shared" si="46"/>
        <v>0</v>
      </c>
      <c r="AG82" s="14">
        <v>4</v>
      </c>
      <c r="AI82" s="13">
        <f t="shared" ref="AI82:AU82" si="47">ROUND(SUMPRODUCT(AH43:AJ45,$AN$29:$AP$31),0)</f>
        <v>10</v>
      </c>
      <c r="AJ82" s="13">
        <f t="shared" si="47"/>
        <v>-179</v>
      </c>
      <c r="AK82" s="13">
        <f t="shared" si="47"/>
        <v>-212</v>
      </c>
      <c r="AL82" s="13">
        <f t="shared" si="47"/>
        <v>2135</v>
      </c>
      <c r="AM82" s="13">
        <f t="shared" si="47"/>
        <v>997</v>
      </c>
      <c r="AN82" s="13">
        <f t="shared" si="47"/>
        <v>-63</v>
      </c>
      <c r="AO82" s="13">
        <f t="shared" si="47"/>
        <v>-893</v>
      </c>
      <c r="AP82" s="13">
        <f t="shared" si="47"/>
        <v>-1640</v>
      </c>
      <c r="AQ82" s="13">
        <f t="shared" si="47"/>
        <v>-2879</v>
      </c>
      <c r="AR82" s="13">
        <f t="shared" si="47"/>
        <v>-694</v>
      </c>
      <c r="AS82" s="13">
        <f t="shared" si="47"/>
        <v>-7</v>
      </c>
      <c r="AT82" s="13">
        <f t="shared" si="47"/>
        <v>0</v>
      </c>
      <c r="AU82" s="13">
        <f t="shared" si="47"/>
        <v>0</v>
      </c>
    </row>
    <row r="83" spans="1:47" x14ac:dyDescent="0.3">
      <c r="A83" s="14">
        <v>5</v>
      </c>
      <c r="C83" s="13">
        <f t="shared" si="39"/>
        <v>1</v>
      </c>
      <c r="D83" s="13">
        <f t="shared" si="39"/>
        <v>1169</v>
      </c>
      <c r="E83" s="13">
        <f t="shared" si="39"/>
        <v>5856</v>
      </c>
      <c r="F83" s="13">
        <f t="shared" si="39"/>
        <v>5863</v>
      </c>
      <c r="G83" s="13">
        <f t="shared" si="39"/>
        <v>1172</v>
      </c>
      <c r="H83" s="13">
        <f t="shared" si="39"/>
        <v>1</v>
      </c>
      <c r="I83" s="13">
        <f t="shared" si="39"/>
        <v>2</v>
      </c>
      <c r="J83" s="13">
        <f t="shared" si="39"/>
        <v>1123</v>
      </c>
      <c r="K83" s="13">
        <f t="shared" si="39"/>
        <v>5583</v>
      </c>
      <c r="L83" s="13">
        <f t="shared" si="39"/>
        <v>5486</v>
      </c>
      <c r="M83" s="13">
        <f t="shared" si="39"/>
        <v>1089</v>
      </c>
      <c r="N83" s="13">
        <f t="shared" si="39"/>
        <v>1</v>
      </c>
      <c r="O83" s="13">
        <f t="shared" si="39"/>
        <v>0</v>
      </c>
      <c r="Q83" s="14">
        <v>5</v>
      </c>
      <c r="S83" s="13">
        <f t="shared" ref="S83:AE83" si="48">ROUND(SUMPRODUCT(R44:T46,$AN$29:$AP$31),0)</f>
        <v>330</v>
      </c>
      <c r="T83" s="13">
        <f t="shared" si="48"/>
        <v>375</v>
      </c>
      <c r="U83" s="13">
        <f t="shared" si="48"/>
        <v>383</v>
      </c>
      <c r="V83" s="13">
        <f t="shared" si="48"/>
        <v>452</v>
      </c>
      <c r="W83" s="13">
        <f t="shared" si="48"/>
        <v>99</v>
      </c>
      <c r="X83" s="13">
        <f t="shared" si="48"/>
        <v>1</v>
      </c>
      <c r="Y83" s="13">
        <f t="shared" si="48"/>
        <v>174</v>
      </c>
      <c r="Z83" s="13">
        <f t="shared" si="48"/>
        <v>852</v>
      </c>
      <c r="AA83" s="13">
        <f t="shared" si="48"/>
        <v>826</v>
      </c>
      <c r="AB83" s="13">
        <f t="shared" si="48"/>
        <v>164</v>
      </c>
      <c r="AC83" s="13">
        <f t="shared" si="48"/>
        <v>0</v>
      </c>
      <c r="AD83" s="13">
        <f t="shared" si="48"/>
        <v>0</v>
      </c>
      <c r="AE83" s="13">
        <f t="shared" si="48"/>
        <v>0</v>
      </c>
      <c r="AG83" s="14">
        <v>5</v>
      </c>
      <c r="AI83" s="13">
        <f t="shared" ref="AI83:AU83" si="49">ROUND(SUMPRODUCT(AH44:AJ46,$AN$29:$AP$31),0)</f>
        <v>-7</v>
      </c>
      <c r="AJ83" s="13">
        <f t="shared" si="49"/>
        <v>-227</v>
      </c>
      <c r="AK83" s="13">
        <f t="shared" si="49"/>
        <v>-799</v>
      </c>
      <c r="AL83" s="13">
        <f t="shared" si="49"/>
        <v>225</v>
      </c>
      <c r="AM83" s="13">
        <f t="shared" si="49"/>
        <v>113</v>
      </c>
      <c r="AN83" s="13">
        <f t="shared" si="49"/>
        <v>0</v>
      </c>
      <c r="AO83" s="13">
        <f t="shared" si="49"/>
        <v>-10</v>
      </c>
      <c r="AP83" s="13">
        <f t="shared" si="49"/>
        <v>-203</v>
      </c>
      <c r="AQ83" s="13">
        <f t="shared" si="49"/>
        <v>-673</v>
      </c>
      <c r="AR83" s="13">
        <f t="shared" si="49"/>
        <v>-140</v>
      </c>
      <c r="AS83" s="13">
        <f t="shared" si="49"/>
        <v>7</v>
      </c>
      <c r="AT83" s="13">
        <f t="shared" si="49"/>
        <v>0</v>
      </c>
      <c r="AU83" s="13">
        <f t="shared" si="49"/>
        <v>0</v>
      </c>
    </row>
    <row r="84" spans="1:47" x14ac:dyDescent="0.3">
      <c r="A84" s="14">
        <v>6</v>
      </c>
      <c r="C84" s="13">
        <f t="shared" si="39"/>
        <v>0</v>
      </c>
      <c r="D84" s="13">
        <f t="shared" si="39"/>
        <v>1299</v>
      </c>
      <c r="E84" s="13">
        <f t="shared" si="39"/>
        <v>6489</v>
      </c>
      <c r="F84" s="13">
        <f t="shared" si="39"/>
        <v>6430</v>
      </c>
      <c r="G84" s="13">
        <f t="shared" si="39"/>
        <v>1279</v>
      </c>
      <c r="H84" s="13">
        <f t="shared" si="39"/>
        <v>0</v>
      </c>
      <c r="I84" s="13">
        <f t="shared" si="39"/>
        <v>0</v>
      </c>
      <c r="J84" s="13">
        <f t="shared" si="39"/>
        <v>1157</v>
      </c>
      <c r="K84" s="13">
        <f t="shared" si="39"/>
        <v>5763</v>
      </c>
      <c r="L84" s="13">
        <f t="shared" si="39"/>
        <v>5667</v>
      </c>
      <c r="M84" s="13">
        <f t="shared" si="39"/>
        <v>1125</v>
      </c>
      <c r="N84" s="13">
        <f t="shared" si="39"/>
        <v>0</v>
      </c>
      <c r="O84" s="13">
        <f t="shared" si="39"/>
        <v>0</v>
      </c>
      <c r="Q84" s="14">
        <v>6</v>
      </c>
      <c r="S84" s="13">
        <f t="shared" ref="S84:AE84" si="50">ROUND(SUMPRODUCT(R45:T47,$AN$29:$AP$31),0)</f>
        <v>65</v>
      </c>
      <c r="T84" s="13">
        <f t="shared" si="50"/>
        <v>73</v>
      </c>
      <c r="U84" s="13">
        <f t="shared" si="50"/>
        <v>56</v>
      </c>
      <c r="V84" s="13">
        <f t="shared" si="50"/>
        <v>12</v>
      </c>
      <c r="W84" s="13">
        <f t="shared" si="50"/>
        <v>1</v>
      </c>
      <c r="X84" s="13">
        <f t="shared" si="50"/>
        <v>0</v>
      </c>
      <c r="Y84" s="13">
        <f t="shared" si="50"/>
        <v>1</v>
      </c>
      <c r="Z84" s="13">
        <f t="shared" si="50"/>
        <v>1</v>
      </c>
      <c r="AA84" s="13">
        <f t="shared" si="50"/>
        <v>1</v>
      </c>
      <c r="AB84" s="13">
        <f t="shared" si="50"/>
        <v>0</v>
      </c>
      <c r="AC84" s="13">
        <f t="shared" si="50"/>
        <v>0</v>
      </c>
      <c r="AD84" s="13">
        <f t="shared" si="50"/>
        <v>0</v>
      </c>
      <c r="AE84" s="13">
        <f t="shared" si="50"/>
        <v>0</v>
      </c>
      <c r="AG84" s="14">
        <v>6</v>
      </c>
      <c r="AI84" s="13">
        <f t="shared" ref="AI84:AU84" si="51">ROUND(SUMPRODUCT(AH45:AJ47,$AN$29:$AP$31),0)</f>
        <v>-2</v>
      </c>
      <c r="AJ84" s="13">
        <f t="shared" si="51"/>
        <v>-48</v>
      </c>
      <c r="AK84" s="13">
        <f t="shared" si="51"/>
        <v>-182</v>
      </c>
      <c r="AL84" s="13">
        <f t="shared" si="51"/>
        <v>-9</v>
      </c>
      <c r="AM84" s="13">
        <f t="shared" si="51"/>
        <v>10</v>
      </c>
      <c r="AN84" s="13">
        <f t="shared" si="51"/>
        <v>0</v>
      </c>
      <c r="AO84" s="13">
        <f t="shared" si="51"/>
        <v>0</v>
      </c>
      <c r="AP84" s="13">
        <f t="shared" si="51"/>
        <v>-9</v>
      </c>
      <c r="AQ84" s="13">
        <f t="shared" si="51"/>
        <v>-35</v>
      </c>
      <c r="AR84" s="13">
        <f t="shared" si="51"/>
        <v>0</v>
      </c>
      <c r="AS84" s="13">
        <f t="shared" si="51"/>
        <v>3</v>
      </c>
      <c r="AT84" s="13">
        <f t="shared" si="51"/>
        <v>0</v>
      </c>
      <c r="AU84" s="13">
        <f t="shared" si="51"/>
        <v>0</v>
      </c>
    </row>
    <row r="85" spans="1:47" x14ac:dyDescent="0.3">
      <c r="A85" s="14">
        <v>7</v>
      </c>
      <c r="C85" s="13">
        <f t="shared" si="39"/>
        <v>0</v>
      </c>
      <c r="D85" s="13">
        <f t="shared" si="39"/>
        <v>1304</v>
      </c>
      <c r="E85" s="13">
        <f t="shared" si="39"/>
        <v>6528</v>
      </c>
      <c r="F85" s="13">
        <f t="shared" si="39"/>
        <v>6513</v>
      </c>
      <c r="G85" s="13">
        <f t="shared" si="39"/>
        <v>1299</v>
      </c>
      <c r="H85" s="13">
        <f t="shared" si="39"/>
        <v>1</v>
      </c>
      <c r="I85" s="13">
        <f t="shared" si="39"/>
        <v>0</v>
      </c>
      <c r="J85" s="13">
        <f t="shared" si="39"/>
        <v>1134</v>
      </c>
      <c r="K85" s="13">
        <f t="shared" si="39"/>
        <v>5662</v>
      </c>
      <c r="L85" s="13">
        <f t="shared" si="39"/>
        <v>5607</v>
      </c>
      <c r="M85" s="13">
        <f t="shared" si="39"/>
        <v>1116</v>
      </c>
      <c r="N85" s="13">
        <f t="shared" si="39"/>
        <v>1</v>
      </c>
      <c r="O85" s="13">
        <f t="shared" si="39"/>
        <v>1</v>
      </c>
      <c r="Q85" s="14">
        <v>7</v>
      </c>
      <c r="S85" s="13">
        <f t="shared" ref="S85:AE85" si="52">ROUND(SUMPRODUCT(R46:T48,$AN$29:$AP$31),0)</f>
        <v>0</v>
      </c>
      <c r="T85" s="13">
        <f t="shared" si="52"/>
        <v>0</v>
      </c>
      <c r="U85" s="13">
        <f t="shared" si="52"/>
        <v>0</v>
      </c>
      <c r="V85" s="13">
        <f t="shared" si="52"/>
        <v>0</v>
      </c>
      <c r="W85" s="13">
        <f t="shared" si="52"/>
        <v>0</v>
      </c>
      <c r="X85" s="13">
        <f t="shared" si="52"/>
        <v>0</v>
      </c>
      <c r="Y85" s="13">
        <f t="shared" si="52"/>
        <v>0</v>
      </c>
      <c r="Z85" s="13">
        <f t="shared" si="52"/>
        <v>2</v>
      </c>
      <c r="AA85" s="13">
        <f t="shared" si="52"/>
        <v>1</v>
      </c>
      <c r="AB85" s="13">
        <f t="shared" si="52"/>
        <v>0</v>
      </c>
      <c r="AC85" s="13">
        <f t="shared" si="52"/>
        <v>0</v>
      </c>
      <c r="AD85" s="13">
        <f t="shared" si="52"/>
        <v>0</v>
      </c>
      <c r="AE85" s="13">
        <f t="shared" si="52"/>
        <v>0</v>
      </c>
      <c r="AG85" s="14">
        <v>7</v>
      </c>
      <c r="AI85" s="13">
        <f t="shared" ref="AI85:AU85" si="53">ROUND(SUMPRODUCT(AH46:AJ48,$AN$29:$AP$31),0)</f>
        <v>0</v>
      </c>
      <c r="AJ85" s="13">
        <f t="shared" si="53"/>
        <v>0</v>
      </c>
      <c r="AK85" s="13">
        <f t="shared" si="53"/>
        <v>0</v>
      </c>
      <c r="AL85" s="13">
        <f t="shared" si="53"/>
        <v>0</v>
      </c>
      <c r="AM85" s="13">
        <f t="shared" si="53"/>
        <v>0</v>
      </c>
      <c r="AN85" s="13">
        <f t="shared" si="53"/>
        <v>0</v>
      </c>
      <c r="AO85" s="13">
        <f t="shared" si="53"/>
        <v>0</v>
      </c>
      <c r="AP85" s="13">
        <f t="shared" si="53"/>
        <v>-1</v>
      </c>
      <c r="AQ85" s="13">
        <f t="shared" si="53"/>
        <v>2</v>
      </c>
      <c r="AR85" s="13">
        <f t="shared" si="53"/>
        <v>9</v>
      </c>
      <c r="AS85" s="13">
        <f t="shared" si="53"/>
        <v>2</v>
      </c>
      <c r="AT85" s="13">
        <f t="shared" si="53"/>
        <v>0</v>
      </c>
      <c r="AU85" s="13">
        <f t="shared" si="53"/>
        <v>0</v>
      </c>
    </row>
    <row r="86" spans="1:47" x14ac:dyDescent="0.3">
      <c r="A86" s="14">
        <v>8</v>
      </c>
      <c r="C86" s="13">
        <f t="shared" si="39"/>
        <v>0</v>
      </c>
      <c r="D86" s="13">
        <f t="shared" si="39"/>
        <v>1266</v>
      </c>
      <c r="E86" s="13">
        <f t="shared" si="39"/>
        <v>6345</v>
      </c>
      <c r="F86" s="13">
        <f t="shared" si="39"/>
        <v>6359</v>
      </c>
      <c r="G86" s="13">
        <f t="shared" si="39"/>
        <v>1270</v>
      </c>
      <c r="H86" s="13">
        <f t="shared" si="39"/>
        <v>1</v>
      </c>
      <c r="I86" s="13">
        <f t="shared" si="39"/>
        <v>1</v>
      </c>
      <c r="J86" s="13">
        <f t="shared" si="39"/>
        <v>1085</v>
      </c>
      <c r="K86" s="13">
        <f t="shared" si="39"/>
        <v>5441</v>
      </c>
      <c r="L86" s="13">
        <f t="shared" si="39"/>
        <v>5469</v>
      </c>
      <c r="M86" s="13">
        <f t="shared" si="39"/>
        <v>1094</v>
      </c>
      <c r="N86" s="13">
        <f t="shared" si="39"/>
        <v>1</v>
      </c>
      <c r="O86" s="13">
        <f t="shared" si="39"/>
        <v>1</v>
      </c>
      <c r="Q86" s="14">
        <v>8</v>
      </c>
      <c r="S86" s="13">
        <f t="shared" ref="S86:AE86" si="54">ROUND(SUMPRODUCT(R47:T49,$AN$29:$AP$31),0)</f>
        <v>1</v>
      </c>
      <c r="T86" s="13">
        <f t="shared" si="54"/>
        <v>1</v>
      </c>
      <c r="U86" s="13">
        <f t="shared" si="54"/>
        <v>103</v>
      </c>
      <c r="V86" s="13">
        <f t="shared" si="54"/>
        <v>523</v>
      </c>
      <c r="W86" s="13">
        <f t="shared" si="54"/>
        <v>667</v>
      </c>
      <c r="X86" s="13">
        <f t="shared" si="54"/>
        <v>670</v>
      </c>
      <c r="Y86" s="13">
        <f t="shared" si="54"/>
        <v>649</v>
      </c>
      <c r="Z86" s="13">
        <f t="shared" si="54"/>
        <v>664</v>
      </c>
      <c r="AA86" s="13">
        <f t="shared" si="54"/>
        <v>537</v>
      </c>
      <c r="AB86" s="13">
        <f t="shared" si="54"/>
        <v>107</v>
      </c>
      <c r="AC86" s="13">
        <f t="shared" si="54"/>
        <v>0</v>
      </c>
      <c r="AD86" s="13">
        <f t="shared" si="54"/>
        <v>0</v>
      </c>
      <c r="AE86" s="13">
        <f t="shared" si="54"/>
        <v>0</v>
      </c>
      <c r="AG86" s="14">
        <v>8</v>
      </c>
      <c r="AI86" s="13">
        <f t="shared" ref="AI86:AU86" si="55">ROUND(SUMPRODUCT(AH47:AJ49,$AN$29:$AP$31),0)</f>
        <v>0</v>
      </c>
      <c r="AJ86" s="13">
        <f t="shared" si="55"/>
        <v>-4</v>
      </c>
      <c r="AK86" s="13">
        <f t="shared" si="55"/>
        <v>-171</v>
      </c>
      <c r="AL86" s="13">
        <f t="shared" si="55"/>
        <v>-615</v>
      </c>
      <c r="AM86" s="13">
        <f t="shared" si="55"/>
        <v>-152</v>
      </c>
      <c r="AN86" s="13">
        <f t="shared" si="55"/>
        <v>0</v>
      </c>
      <c r="AO86" s="13">
        <f t="shared" si="55"/>
        <v>0</v>
      </c>
      <c r="AP86" s="13">
        <f t="shared" si="55"/>
        <v>143</v>
      </c>
      <c r="AQ86" s="13">
        <f t="shared" si="55"/>
        <v>589</v>
      </c>
      <c r="AR86" s="13">
        <f t="shared" si="55"/>
        <v>197</v>
      </c>
      <c r="AS86" s="13">
        <f t="shared" si="55"/>
        <v>13</v>
      </c>
      <c r="AT86" s="13">
        <f t="shared" si="55"/>
        <v>0</v>
      </c>
      <c r="AU86" s="13">
        <f t="shared" si="55"/>
        <v>0</v>
      </c>
    </row>
    <row r="87" spans="1:47" x14ac:dyDescent="0.3">
      <c r="A87" s="14">
        <v>9</v>
      </c>
      <c r="C87" s="13">
        <f t="shared" si="39"/>
        <v>0</v>
      </c>
      <c r="D87" s="13">
        <f t="shared" si="39"/>
        <v>1011</v>
      </c>
      <c r="E87" s="13">
        <f t="shared" si="39"/>
        <v>5080</v>
      </c>
      <c r="F87" s="13">
        <f t="shared" si="39"/>
        <v>5127</v>
      </c>
      <c r="G87" s="13">
        <f t="shared" si="39"/>
        <v>1027</v>
      </c>
      <c r="H87" s="13">
        <f t="shared" si="39"/>
        <v>0</v>
      </c>
      <c r="I87" s="13">
        <f t="shared" si="39"/>
        <v>0</v>
      </c>
      <c r="J87" s="13">
        <f t="shared" si="39"/>
        <v>879</v>
      </c>
      <c r="K87" s="13">
        <f t="shared" si="39"/>
        <v>4392</v>
      </c>
      <c r="L87" s="13">
        <f t="shared" si="39"/>
        <v>4350</v>
      </c>
      <c r="M87" s="13">
        <f t="shared" si="39"/>
        <v>866</v>
      </c>
      <c r="N87" s="13">
        <f t="shared" si="39"/>
        <v>0</v>
      </c>
      <c r="O87" s="13">
        <f t="shared" si="39"/>
        <v>1</v>
      </c>
      <c r="Q87" s="14">
        <v>9</v>
      </c>
      <c r="S87" s="13">
        <f t="shared" ref="S87:AE87" si="56">ROUND(SUMPRODUCT(R48:T50,$AN$29:$AP$31),0)</f>
        <v>1</v>
      </c>
      <c r="T87" s="13">
        <f t="shared" si="56"/>
        <v>11</v>
      </c>
      <c r="U87" s="13">
        <f t="shared" si="56"/>
        <v>551</v>
      </c>
      <c r="V87" s="13">
        <f t="shared" si="56"/>
        <v>2613</v>
      </c>
      <c r="W87" s="13">
        <f t="shared" si="56"/>
        <v>3318</v>
      </c>
      <c r="X87" s="13">
        <f t="shared" si="56"/>
        <v>3345</v>
      </c>
      <c r="Y87" s="13">
        <f t="shared" si="56"/>
        <v>3272</v>
      </c>
      <c r="Z87" s="13">
        <f t="shared" si="56"/>
        <v>3304</v>
      </c>
      <c r="AA87" s="13">
        <f t="shared" si="56"/>
        <v>2644</v>
      </c>
      <c r="AB87" s="13">
        <f t="shared" si="56"/>
        <v>521</v>
      </c>
      <c r="AC87" s="13">
        <f t="shared" si="56"/>
        <v>1</v>
      </c>
      <c r="AD87" s="13">
        <f t="shared" si="56"/>
        <v>1</v>
      </c>
      <c r="AE87" s="13">
        <f t="shared" si="56"/>
        <v>1</v>
      </c>
      <c r="AG87" s="14">
        <v>9</v>
      </c>
      <c r="AI87" s="13">
        <f t="shared" ref="AI87:AU87" si="57">ROUND(SUMPRODUCT(AH48:AJ50,$AN$29:$AP$31),0)</f>
        <v>0</v>
      </c>
      <c r="AJ87" s="13">
        <f t="shared" si="57"/>
        <v>-4</v>
      </c>
      <c r="AK87" s="13">
        <f t="shared" si="57"/>
        <v>-633</v>
      </c>
      <c r="AL87" s="13">
        <f t="shared" si="57"/>
        <v>-2472</v>
      </c>
      <c r="AM87" s="13">
        <f t="shared" si="57"/>
        <v>-615</v>
      </c>
      <c r="AN87" s="13">
        <f t="shared" si="57"/>
        <v>0</v>
      </c>
      <c r="AO87" s="13">
        <f t="shared" si="57"/>
        <v>0</v>
      </c>
      <c r="AP87" s="13">
        <f t="shared" si="57"/>
        <v>574</v>
      </c>
      <c r="AQ87" s="13">
        <f t="shared" si="57"/>
        <v>2324</v>
      </c>
      <c r="AR87" s="13">
        <f t="shared" si="57"/>
        <v>655</v>
      </c>
      <c r="AS87" s="13">
        <f t="shared" si="57"/>
        <v>20</v>
      </c>
      <c r="AT87" s="13">
        <f t="shared" si="57"/>
        <v>0</v>
      </c>
      <c r="AU87" s="13">
        <f t="shared" si="57"/>
        <v>0</v>
      </c>
    </row>
    <row r="88" spans="1:47" x14ac:dyDescent="0.3">
      <c r="A88" s="14">
        <v>10</v>
      </c>
      <c r="C88" s="13">
        <f t="shared" si="39"/>
        <v>16</v>
      </c>
      <c r="D88" s="13">
        <f t="shared" si="39"/>
        <v>354</v>
      </c>
      <c r="E88" s="13">
        <f t="shared" si="39"/>
        <v>1447</v>
      </c>
      <c r="F88" s="13">
        <f t="shared" si="39"/>
        <v>1363</v>
      </c>
      <c r="G88" s="13">
        <f t="shared" si="39"/>
        <v>268</v>
      </c>
      <c r="H88" s="13">
        <f t="shared" si="39"/>
        <v>0</v>
      </c>
      <c r="I88" s="13">
        <f t="shared" si="39"/>
        <v>0</v>
      </c>
      <c r="J88" s="13">
        <f t="shared" si="39"/>
        <v>224</v>
      </c>
      <c r="K88" s="13">
        <f t="shared" si="39"/>
        <v>1113</v>
      </c>
      <c r="L88" s="13">
        <f t="shared" si="39"/>
        <v>1090</v>
      </c>
      <c r="M88" s="13">
        <f t="shared" si="39"/>
        <v>217</v>
      </c>
      <c r="N88" s="13">
        <f t="shared" si="39"/>
        <v>0</v>
      </c>
      <c r="O88" s="13">
        <f t="shared" si="39"/>
        <v>0</v>
      </c>
      <c r="Q88" s="14">
        <v>10</v>
      </c>
      <c r="S88" s="13">
        <f t="shared" ref="S88:AE88" si="58">ROUND(SUMPRODUCT(R49:T51,$AN$29:$AP$31),0)</f>
        <v>16</v>
      </c>
      <c r="T88" s="13">
        <f t="shared" si="58"/>
        <v>119</v>
      </c>
      <c r="U88" s="13">
        <f t="shared" si="58"/>
        <v>734</v>
      </c>
      <c r="V88" s="13">
        <f t="shared" si="58"/>
        <v>2607</v>
      </c>
      <c r="W88" s="13">
        <f t="shared" si="58"/>
        <v>3256</v>
      </c>
      <c r="X88" s="13">
        <f t="shared" si="58"/>
        <v>3314</v>
      </c>
      <c r="Y88" s="13">
        <f t="shared" si="58"/>
        <v>3335</v>
      </c>
      <c r="Z88" s="13">
        <f t="shared" si="58"/>
        <v>3253</v>
      </c>
      <c r="AA88" s="13">
        <f t="shared" si="58"/>
        <v>2513</v>
      </c>
      <c r="AB88" s="13">
        <f t="shared" si="58"/>
        <v>490</v>
      </c>
      <c r="AC88" s="13">
        <f t="shared" si="58"/>
        <v>0</v>
      </c>
      <c r="AD88" s="13">
        <f t="shared" si="58"/>
        <v>1</v>
      </c>
      <c r="AE88" s="13">
        <f t="shared" si="58"/>
        <v>0</v>
      </c>
      <c r="AG88" s="14">
        <v>10</v>
      </c>
      <c r="AI88" s="13">
        <f t="shared" ref="AI88:AU88" si="59">ROUND(SUMPRODUCT(AH49:AJ51,$AN$29:$AP$31),0)</f>
        <v>16</v>
      </c>
      <c r="AJ88" s="13">
        <f t="shared" si="59"/>
        <v>130</v>
      </c>
      <c r="AK88" s="13">
        <f t="shared" si="59"/>
        <v>-23</v>
      </c>
      <c r="AL88" s="13">
        <f t="shared" si="59"/>
        <v>-1167</v>
      </c>
      <c r="AM88" s="13">
        <f t="shared" si="59"/>
        <v>-308</v>
      </c>
      <c r="AN88" s="13">
        <f t="shared" si="59"/>
        <v>0</v>
      </c>
      <c r="AO88" s="13">
        <f t="shared" si="59"/>
        <v>0</v>
      </c>
      <c r="AP88" s="13">
        <f t="shared" si="59"/>
        <v>265</v>
      </c>
      <c r="AQ88" s="13">
        <f t="shared" si="59"/>
        <v>1068</v>
      </c>
      <c r="AR88" s="13">
        <f t="shared" si="59"/>
        <v>290</v>
      </c>
      <c r="AS88" s="13">
        <f t="shared" si="59"/>
        <v>6</v>
      </c>
      <c r="AT88" s="13">
        <f t="shared" si="59"/>
        <v>0</v>
      </c>
      <c r="AU88" s="13">
        <f t="shared" si="59"/>
        <v>0</v>
      </c>
    </row>
    <row r="89" spans="1:47" x14ac:dyDescent="0.3">
      <c r="A89" s="14">
        <v>11</v>
      </c>
      <c r="C89" s="13">
        <f t="shared" si="39"/>
        <v>145</v>
      </c>
      <c r="D89" s="13">
        <f t="shared" si="39"/>
        <v>423</v>
      </c>
      <c r="E89" s="13">
        <f t="shared" si="39"/>
        <v>433</v>
      </c>
      <c r="F89" s="13">
        <f t="shared" si="39"/>
        <v>153</v>
      </c>
      <c r="G89" s="13">
        <f t="shared" si="39"/>
        <v>18</v>
      </c>
      <c r="H89" s="13">
        <f t="shared" si="39"/>
        <v>0</v>
      </c>
      <c r="I89" s="13">
        <f t="shared" si="39"/>
        <v>0</v>
      </c>
      <c r="J89" s="13">
        <f t="shared" si="39"/>
        <v>52</v>
      </c>
      <c r="K89" s="13">
        <f t="shared" si="39"/>
        <v>260</v>
      </c>
      <c r="L89" s="13">
        <f t="shared" si="39"/>
        <v>263</v>
      </c>
      <c r="M89" s="13">
        <f t="shared" si="39"/>
        <v>53</v>
      </c>
      <c r="N89" s="13">
        <f t="shared" si="39"/>
        <v>0</v>
      </c>
      <c r="O89" s="13">
        <f t="shared" si="39"/>
        <v>0</v>
      </c>
      <c r="Q89" s="14">
        <v>11</v>
      </c>
      <c r="S89" s="13">
        <f t="shared" ref="S89:AE89" si="60">ROUND(SUMPRODUCT(R50:T52,$AN$29:$AP$31),0)</f>
        <v>80</v>
      </c>
      <c r="T89" s="13">
        <f t="shared" si="60"/>
        <v>387</v>
      </c>
      <c r="U89" s="13">
        <f t="shared" si="60"/>
        <v>453</v>
      </c>
      <c r="V89" s="13">
        <f t="shared" si="60"/>
        <v>577</v>
      </c>
      <c r="W89" s="13">
        <f t="shared" si="60"/>
        <v>647</v>
      </c>
      <c r="X89" s="13">
        <f t="shared" si="60"/>
        <v>659</v>
      </c>
      <c r="Y89" s="13">
        <f t="shared" si="60"/>
        <v>670</v>
      </c>
      <c r="Z89" s="13">
        <f t="shared" si="60"/>
        <v>646</v>
      </c>
      <c r="AA89" s="13">
        <f t="shared" si="60"/>
        <v>493</v>
      </c>
      <c r="AB89" s="13">
        <f t="shared" si="60"/>
        <v>96</v>
      </c>
      <c r="AC89" s="13">
        <f t="shared" si="60"/>
        <v>0</v>
      </c>
      <c r="AD89" s="13">
        <f t="shared" si="60"/>
        <v>0</v>
      </c>
      <c r="AE89" s="13">
        <f t="shared" si="60"/>
        <v>0</v>
      </c>
      <c r="AG89" s="14">
        <v>11</v>
      </c>
      <c r="AI89" s="13">
        <f t="shared" ref="AI89:AU89" si="61">ROUND(SUMPRODUCT(AH50:AJ52,$AN$29:$AP$31),0)</f>
        <v>85</v>
      </c>
      <c r="AJ89" s="13">
        <f t="shared" si="61"/>
        <v>397</v>
      </c>
      <c r="AK89" s="13">
        <f t="shared" si="61"/>
        <v>340</v>
      </c>
      <c r="AL89" s="13">
        <f t="shared" si="61"/>
        <v>-90</v>
      </c>
      <c r="AM89" s="13">
        <f t="shared" si="61"/>
        <v>-41</v>
      </c>
      <c r="AN89" s="13">
        <f t="shared" si="61"/>
        <v>0</v>
      </c>
      <c r="AO89" s="13">
        <f t="shared" si="61"/>
        <v>0</v>
      </c>
      <c r="AP89" s="13">
        <f t="shared" si="61"/>
        <v>33</v>
      </c>
      <c r="AQ89" s="13">
        <f t="shared" si="61"/>
        <v>133</v>
      </c>
      <c r="AR89" s="13">
        <f t="shared" si="61"/>
        <v>37</v>
      </c>
      <c r="AS89" s="13">
        <f t="shared" si="61"/>
        <v>1</v>
      </c>
      <c r="AT89" s="13">
        <f t="shared" si="61"/>
        <v>0</v>
      </c>
      <c r="AU89" s="13">
        <f t="shared" si="61"/>
        <v>0</v>
      </c>
    </row>
    <row r="90" spans="1:47" x14ac:dyDescent="0.3">
      <c r="A90" s="14">
        <v>12</v>
      </c>
      <c r="C90" s="13">
        <f t="shared" si="39"/>
        <v>339</v>
      </c>
      <c r="D90" s="13">
        <f t="shared" si="39"/>
        <v>419</v>
      </c>
      <c r="E90" s="13">
        <f t="shared" si="39"/>
        <v>149</v>
      </c>
      <c r="F90" s="13">
        <f t="shared" si="39"/>
        <v>16</v>
      </c>
      <c r="G90" s="13">
        <f t="shared" si="39"/>
        <v>2</v>
      </c>
      <c r="H90" s="13">
        <f t="shared" si="39"/>
        <v>0</v>
      </c>
      <c r="I90" s="13">
        <f t="shared" si="39"/>
        <v>0</v>
      </c>
      <c r="J90" s="13">
        <f t="shared" si="39"/>
        <v>44</v>
      </c>
      <c r="K90" s="13">
        <f t="shared" si="39"/>
        <v>212</v>
      </c>
      <c r="L90" s="13">
        <f t="shared" si="39"/>
        <v>193</v>
      </c>
      <c r="M90" s="13">
        <f t="shared" si="39"/>
        <v>38</v>
      </c>
      <c r="N90" s="13">
        <f t="shared" si="39"/>
        <v>0</v>
      </c>
      <c r="O90" s="13">
        <f t="shared" si="39"/>
        <v>0</v>
      </c>
      <c r="Q90" s="14">
        <v>12</v>
      </c>
      <c r="S90" s="13">
        <f t="shared" ref="S90:AE90" si="62">ROUND(SUMPRODUCT(R51:T53,$AN$29:$AP$31),0)</f>
        <v>81</v>
      </c>
      <c r="T90" s="13">
        <f t="shared" si="62"/>
        <v>334</v>
      </c>
      <c r="U90" s="13">
        <f t="shared" si="62"/>
        <v>140</v>
      </c>
      <c r="V90" s="13">
        <f t="shared" si="62"/>
        <v>17</v>
      </c>
      <c r="W90" s="13">
        <f t="shared" si="62"/>
        <v>1</v>
      </c>
      <c r="X90" s="13">
        <f t="shared" si="62"/>
        <v>0</v>
      </c>
      <c r="Y90" s="13">
        <f t="shared" si="62"/>
        <v>0</v>
      </c>
      <c r="Z90" s="13">
        <f t="shared" si="62"/>
        <v>0</v>
      </c>
      <c r="AA90" s="13">
        <f t="shared" si="62"/>
        <v>1</v>
      </c>
      <c r="AB90" s="13">
        <f t="shared" si="62"/>
        <v>1</v>
      </c>
      <c r="AC90" s="13">
        <f t="shared" si="62"/>
        <v>0</v>
      </c>
      <c r="AD90" s="13">
        <f t="shared" si="62"/>
        <v>0</v>
      </c>
      <c r="AE90" s="13">
        <f t="shared" si="62"/>
        <v>0</v>
      </c>
      <c r="AG90" s="14">
        <v>12</v>
      </c>
      <c r="AI90" s="13">
        <f t="shared" ref="AI90:AU90" si="63">ROUND(SUMPRODUCT(AH51:AJ53,$AN$29:$AP$31),0)</f>
        <v>103</v>
      </c>
      <c r="AJ90" s="13">
        <f t="shared" si="63"/>
        <v>349</v>
      </c>
      <c r="AK90" s="13">
        <f t="shared" si="63"/>
        <v>144</v>
      </c>
      <c r="AL90" s="13">
        <f t="shared" si="63"/>
        <v>15</v>
      </c>
      <c r="AM90" s="13">
        <f t="shared" si="63"/>
        <v>-1</v>
      </c>
      <c r="AN90" s="13">
        <f t="shared" si="63"/>
        <v>0</v>
      </c>
      <c r="AO90" s="13">
        <f t="shared" si="63"/>
        <v>0</v>
      </c>
      <c r="AP90" s="13">
        <f t="shared" si="63"/>
        <v>2</v>
      </c>
      <c r="AQ90" s="13">
        <f t="shared" si="63"/>
        <v>10</v>
      </c>
      <c r="AR90" s="13">
        <f t="shared" si="63"/>
        <v>9</v>
      </c>
      <c r="AS90" s="13">
        <f t="shared" si="63"/>
        <v>2</v>
      </c>
      <c r="AT90" s="13">
        <f t="shared" si="63"/>
        <v>0</v>
      </c>
      <c r="AU90" s="13">
        <f t="shared" si="63"/>
        <v>0</v>
      </c>
    </row>
    <row r="91" spans="1:47" x14ac:dyDescent="0.3"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</row>
    <row r="92" spans="1:47" x14ac:dyDescent="0.3">
      <c r="G92" s="12" t="s">
        <v>7</v>
      </c>
      <c r="H92" s="12" t="s">
        <v>10</v>
      </c>
    </row>
    <row r="93" spans="1:47" x14ac:dyDescent="0.3">
      <c r="F93" s="12" t="s">
        <v>16</v>
      </c>
      <c r="G93" s="12" t="s">
        <v>10</v>
      </c>
      <c r="H93" s="12" t="s">
        <v>9</v>
      </c>
    </row>
    <row r="94" spans="1:47" x14ac:dyDescent="0.3">
      <c r="D94" s="12" t="s">
        <v>15</v>
      </c>
      <c r="W94" s="12" t="s">
        <v>23</v>
      </c>
    </row>
    <row r="95" spans="1:47" x14ac:dyDescent="0.3">
      <c r="C95" s="14">
        <v>0</v>
      </c>
      <c r="D95" s="14">
        <v>1</v>
      </c>
      <c r="E95" s="14">
        <v>2</v>
      </c>
      <c r="F95" s="14">
        <v>3</v>
      </c>
      <c r="G95" s="14">
        <v>4</v>
      </c>
      <c r="H95" s="14">
        <v>5</v>
      </c>
      <c r="I95" s="14">
        <v>6</v>
      </c>
      <c r="J95" s="14">
        <v>7</v>
      </c>
      <c r="K95" s="14">
        <v>8</v>
      </c>
      <c r="L95" s="14">
        <v>9</v>
      </c>
      <c r="M95" s="14">
        <v>10</v>
      </c>
      <c r="N95" s="14">
        <v>11</v>
      </c>
      <c r="O95" s="14">
        <v>12</v>
      </c>
      <c r="S95" s="14">
        <v>0</v>
      </c>
      <c r="T95" s="14">
        <v>1</v>
      </c>
      <c r="U95" s="14">
        <v>2</v>
      </c>
      <c r="V95" s="14">
        <v>3</v>
      </c>
      <c r="W95" s="14">
        <v>4</v>
      </c>
      <c r="X95" s="14">
        <v>5</v>
      </c>
      <c r="Y95" s="14">
        <v>6</v>
      </c>
      <c r="Z95" s="14">
        <v>7</v>
      </c>
      <c r="AA95" s="14">
        <v>8</v>
      </c>
      <c r="AB95" s="14">
        <v>9</v>
      </c>
      <c r="AC95" s="14">
        <v>10</v>
      </c>
      <c r="AD95" s="14">
        <v>11</v>
      </c>
      <c r="AE95" s="14">
        <v>12</v>
      </c>
    </row>
    <row r="97" spans="1:31" x14ac:dyDescent="0.3">
      <c r="A97" s="14">
        <v>0</v>
      </c>
      <c r="C97" s="16">
        <f>ROUND(C78*S78-AI78^2,0)</f>
        <v>1</v>
      </c>
      <c r="D97" s="16">
        <f t="shared" ref="D97:O109" si="64">ROUND(D78*T78-AJ78^2,0)</f>
        <v>1</v>
      </c>
      <c r="E97" s="16">
        <f t="shared" si="64"/>
        <v>0</v>
      </c>
      <c r="F97" s="16">
        <f t="shared" si="64"/>
        <v>1</v>
      </c>
      <c r="G97" s="16">
        <f t="shared" si="64"/>
        <v>2723</v>
      </c>
      <c r="H97" s="16">
        <f t="shared" si="64"/>
        <v>52041</v>
      </c>
      <c r="I97" s="16">
        <f t="shared" si="64"/>
        <v>14798</v>
      </c>
      <c r="J97" s="16">
        <f t="shared" si="64"/>
        <v>-1</v>
      </c>
      <c r="K97" s="16">
        <f t="shared" si="64"/>
        <v>0</v>
      </c>
      <c r="L97" s="16">
        <f t="shared" si="64"/>
        <v>0</v>
      </c>
      <c r="M97" s="16">
        <f t="shared" si="64"/>
        <v>0</v>
      </c>
      <c r="N97" s="16">
        <f t="shared" si="64"/>
        <v>0</v>
      </c>
      <c r="O97" s="16">
        <f t="shared" si="64"/>
        <v>0</v>
      </c>
      <c r="Q97" s="14">
        <v>0</v>
      </c>
      <c r="S97" s="15">
        <f>(C78+S78)^2</f>
        <v>9</v>
      </c>
      <c r="T97" s="15">
        <f t="shared" ref="T97:AE97" si="65">(D78+T78)^2</f>
        <v>4</v>
      </c>
      <c r="U97" s="15">
        <f t="shared" si="65"/>
        <v>1</v>
      </c>
      <c r="V97" s="15">
        <f t="shared" si="65"/>
        <v>4</v>
      </c>
      <c r="W97" s="15">
        <f t="shared" si="65"/>
        <v>18496</v>
      </c>
      <c r="X97" s="15">
        <f t="shared" si="65"/>
        <v>320356</v>
      </c>
      <c r="Y97" s="15">
        <f t="shared" si="65"/>
        <v>65536</v>
      </c>
      <c r="Z97" s="15">
        <f t="shared" si="65"/>
        <v>961</v>
      </c>
      <c r="AA97" s="15">
        <f t="shared" si="65"/>
        <v>0</v>
      </c>
      <c r="AB97" s="15">
        <f t="shared" si="65"/>
        <v>0</v>
      </c>
      <c r="AC97" s="15">
        <f t="shared" si="65"/>
        <v>0</v>
      </c>
      <c r="AD97" s="15">
        <f t="shared" si="65"/>
        <v>1</v>
      </c>
      <c r="AE97" s="15">
        <f t="shared" si="65"/>
        <v>0</v>
      </c>
    </row>
    <row r="98" spans="1:31" x14ac:dyDescent="0.3">
      <c r="A98" s="14">
        <v>1</v>
      </c>
      <c r="C98" s="16">
        <f t="shared" ref="C98:C109" si="66">ROUND(C79*S79-AI79^2,0)</f>
        <v>0</v>
      </c>
      <c r="D98" s="16">
        <f t="shared" si="64"/>
        <v>0</v>
      </c>
      <c r="E98" s="16">
        <f t="shared" si="64"/>
        <v>0</v>
      </c>
      <c r="F98" s="16">
        <f t="shared" si="64"/>
        <v>221</v>
      </c>
      <c r="G98" s="16">
        <f t="shared" si="64"/>
        <v>365064</v>
      </c>
      <c r="H98" s="16">
        <f t="shared" si="64"/>
        <v>783855</v>
      </c>
      <c r="I98" s="16">
        <f t="shared" si="64"/>
        <v>380414</v>
      </c>
      <c r="J98" s="16">
        <f t="shared" si="64"/>
        <v>5396</v>
      </c>
      <c r="K98" s="16">
        <f t="shared" si="64"/>
        <v>0</v>
      </c>
      <c r="L98" s="16">
        <f t="shared" si="64"/>
        <v>0</v>
      </c>
      <c r="M98" s="16">
        <f t="shared" si="64"/>
        <v>0</v>
      </c>
      <c r="N98" s="16">
        <f t="shared" si="64"/>
        <v>0</v>
      </c>
      <c r="O98" s="16">
        <f t="shared" si="64"/>
        <v>0</v>
      </c>
      <c r="Q98" s="14">
        <v>1</v>
      </c>
      <c r="S98" s="15">
        <f t="shared" ref="S98:S109" si="67">(C79+S79)^2</f>
        <v>0</v>
      </c>
      <c r="T98" s="15">
        <f t="shared" ref="T98:T109" si="68">(D79+T79)^2</f>
        <v>1</v>
      </c>
      <c r="U98" s="15">
        <f t="shared" ref="U98:U109" si="69">(E79+U79)^2</f>
        <v>1</v>
      </c>
      <c r="V98" s="15">
        <f t="shared" ref="V98:V109" si="70">(F79+V79)^2</f>
        <v>49284</v>
      </c>
      <c r="W98" s="15">
        <f t="shared" ref="W98:W109" si="71">(G79+W79)^2</f>
        <v>2096704</v>
      </c>
      <c r="X98" s="15">
        <f t="shared" ref="X98:X109" si="72">(H79+X79)^2</f>
        <v>8168164</v>
      </c>
      <c r="Y98" s="15">
        <f t="shared" ref="Y98:Y109" si="73">(I79+Y79)^2</f>
        <v>4165681</v>
      </c>
      <c r="Z98" s="15">
        <f t="shared" ref="Z98:Z109" si="74">(J79+Z79)^2</f>
        <v>136161</v>
      </c>
      <c r="AA98" s="15">
        <f t="shared" ref="AA98:AA109" si="75">(K79+AA79)^2</f>
        <v>0</v>
      </c>
      <c r="AB98" s="15">
        <f t="shared" ref="AB98:AB109" si="76">(L79+AB79)^2</f>
        <v>0</v>
      </c>
      <c r="AC98" s="15">
        <f t="shared" ref="AC98:AC109" si="77">(M79+AC79)^2</f>
        <v>1</v>
      </c>
      <c r="AD98" s="15">
        <f t="shared" ref="AD98:AD109" si="78">(N79+AD79)^2</f>
        <v>1</v>
      </c>
      <c r="AE98" s="15">
        <f t="shared" ref="AE98:AE109" si="79">(O79+AE79)^2</f>
        <v>0</v>
      </c>
    </row>
    <row r="99" spans="1:31" x14ac:dyDescent="0.3">
      <c r="A99" s="14">
        <v>2</v>
      </c>
      <c r="C99" s="16">
        <f t="shared" si="66"/>
        <v>0</v>
      </c>
      <c r="D99" s="16">
        <f t="shared" si="64"/>
        <v>0</v>
      </c>
      <c r="E99" s="16">
        <f t="shared" si="64"/>
        <v>0</v>
      </c>
      <c r="F99" s="16">
        <f t="shared" si="64"/>
        <v>-4</v>
      </c>
      <c r="G99" s="16">
        <f t="shared" si="64"/>
        <v>1998776</v>
      </c>
      <c r="H99" s="16">
        <f t="shared" si="64"/>
        <v>4915904</v>
      </c>
      <c r="I99" s="16">
        <f t="shared" si="64"/>
        <v>1347408</v>
      </c>
      <c r="J99" s="16">
        <f t="shared" si="64"/>
        <v>249839</v>
      </c>
      <c r="K99" s="16">
        <f t="shared" si="64"/>
        <v>99254</v>
      </c>
      <c r="L99" s="16">
        <f t="shared" si="64"/>
        <v>137</v>
      </c>
      <c r="M99" s="16">
        <f t="shared" si="64"/>
        <v>0</v>
      </c>
      <c r="N99" s="16">
        <f t="shared" si="64"/>
        <v>0</v>
      </c>
      <c r="O99" s="16">
        <f t="shared" si="64"/>
        <v>0</v>
      </c>
      <c r="Q99" s="14">
        <v>2</v>
      </c>
      <c r="S99" s="15">
        <f t="shared" si="67"/>
        <v>1</v>
      </c>
      <c r="T99" s="15">
        <f t="shared" si="68"/>
        <v>1</v>
      </c>
      <c r="U99" s="15">
        <f t="shared" si="69"/>
        <v>48400</v>
      </c>
      <c r="V99" s="15">
        <f t="shared" si="70"/>
        <v>3904576</v>
      </c>
      <c r="W99" s="15">
        <f t="shared" si="71"/>
        <v>27363361</v>
      </c>
      <c r="X99" s="15">
        <f t="shared" si="72"/>
        <v>27133681</v>
      </c>
      <c r="Y99" s="15">
        <f t="shared" si="73"/>
        <v>57744801</v>
      </c>
      <c r="Z99" s="15">
        <f t="shared" si="74"/>
        <v>10023556</v>
      </c>
      <c r="AA99" s="15">
        <f t="shared" si="75"/>
        <v>1046529</v>
      </c>
      <c r="AB99" s="15">
        <f t="shared" si="76"/>
        <v>30276</v>
      </c>
      <c r="AC99" s="15">
        <f t="shared" si="77"/>
        <v>1</v>
      </c>
      <c r="AD99" s="15">
        <f t="shared" si="78"/>
        <v>1</v>
      </c>
      <c r="AE99" s="15">
        <f t="shared" si="79"/>
        <v>0</v>
      </c>
    </row>
    <row r="100" spans="1:31" x14ac:dyDescent="0.3">
      <c r="A100" s="14">
        <v>3</v>
      </c>
      <c r="C100" s="16">
        <f t="shared" si="66"/>
        <v>127</v>
      </c>
      <c r="D100" s="16">
        <f t="shared" si="64"/>
        <v>8739</v>
      </c>
      <c r="E100" s="16">
        <f t="shared" si="64"/>
        <v>448283</v>
      </c>
      <c r="F100" s="16">
        <f t="shared" si="64"/>
        <v>558356</v>
      </c>
      <c r="G100" s="16">
        <f t="shared" si="64"/>
        <v>513036</v>
      </c>
      <c r="H100" s="16">
        <f t="shared" si="64"/>
        <v>2546784</v>
      </c>
      <c r="I100" s="16">
        <f t="shared" si="64"/>
        <v>929439</v>
      </c>
      <c r="J100" s="16">
        <f t="shared" si="64"/>
        <v>4352364</v>
      </c>
      <c r="K100" s="16">
        <f t="shared" si="64"/>
        <v>4292715</v>
      </c>
      <c r="L100" s="16">
        <f t="shared" si="64"/>
        <v>713657</v>
      </c>
      <c r="M100" s="16">
        <f t="shared" si="64"/>
        <v>345</v>
      </c>
      <c r="N100" s="16">
        <f t="shared" si="64"/>
        <v>0</v>
      </c>
      <c r="O100" s="16">
        <f t="shared" si="64"/>
        <v>0</v>
      </c>
      <c r="Q100" s="14">
        <v>3</v>
      </c>
      <c r="S100" s="15">
        <f t="shared" si="67"/>
        <v>4900</v>
      </c>
      <c r="T100" s="15">
        <f t="shared" si="68"/>
        <v>40401</v>
      </c>
      <c r="U100" s="15">
        <f t="shared" si="69"/>
        <v>2637376</v>
      </c>
      <c r="V100" s="15">
        <f t="shared" si="70"/>
        <v>31775769</v>
      </c>
      <c r="W100" s="15">
        <f t="shared" si="71"/>
        <v>32148900</v>
      </c>
      <c r="X100" s="15">
        <f t="shared" si="72"/>
        <v>11115556</v>
      </c>
      <c r="Y100" s="15">
        <f t="shared" si="73"/>
        <v>71554681</v>
      </c>
      <c r="Z100" s="15">
        <f t="shared" si="74"/>
        <v>76282756</v>
      </c>
      <c r="AA100" s="15">
        <f t="shared" si="75"/>
        <v>33223696</v>
      </c>
      <c r="AB100" s="15">
        <f t="shared" si="76"/>
        <v>3010225</v>
      </c>
      <c r="AC100" s="15">
        <f t="shared" si="77"/>
        <v>32041</v>
      </c>
      <c r="AD100" s="15">
        <f t="shared" si="78"/>
        <v>0</v>
      </c>
      <c r="AE100" s="15">
        <f t="shared" si="79"/>
        <v>0</v>
      </c>
    </row>
    <row r="101" spans="1:31" x14ac:dyDescent="0.3">
      <c r="A101" s="14">
        <v>4</v>
      </c>
      <c r="C101" s="16">
        <f t="shared" si="66"/>
        <v>238</v>
      </c>
      <c r="D101" s="16">
        <f t="shared" si="64"/>
        <v>240659</v>
      </c>
      <c r="E101" s="16">
        <f t="shared" si="64"/>
        <v>2760026</v>
      </c>
      <c r="F101" s="16">
        <f t="shared" si="64"/>
        <v>4317655</v>
      </c>
      <c r="G101" s="16">
        <f t="shared" si="64"/>
        <v>208577</v>
      </c>
      <c r="H101" s="16">
        <f t="shared" si="64"/>
        <v>78631</v>
      </c>
      <c r="I101" s="16">
        <f t="shared" si="64"/>
        <v>513951</v>
      </c>
      <c r="J101" s="16">
        <f t="shared" si="64"/>
        <v>4665800</v>
      </c>
      <c r="K101" s="16">
        <f t="shared" si="64"/>
        <v>10462223</v>
      </c>
      <c r="L101" s="16">
        <f t="shared" si="64"/>
        <v>3168742</v>
      </c>
      <c r="M101" s="16">
        <f t="shared" si="64"/>
        <v>837</v>
      </c>
      <c r="N101" s="16">
        <f t="shared" si="64"/>
        <v>0</v>
      </c>
      <c r="O101" s="16">
        <f t="shared" si="64"/>
        <v>0</v>
      </c>
      <c r="Q101" s="14">
        <v>4</v>
      </c>
      <c r="S101" s="15">
        <f t="shared" si="67"/>
        <v>114921</v>
      </c>
      <c r="T101" s="15">
        <f t="shared" si="68"/>
        <v>1164241</v>
      </c>
      <c r="U101" s="15">
        <f t="shared" si="69"/>
        <v>18601969</v>
      </c>
      <c r="V101" s="15">
        <f t="shared" si="70"/>
        <v>38900169</v>
      </c>
      <c r="W101" s="15">
        <f t="shared" si="71"/>
        <v>4897369</v>
      </c>
      <c r="X101" s="15">
        <f t="shared" si="72"/>
        <v>330625</v>
      </c>
      <c r="Y101" s="15">
        <f t="shared" si="73"/>
        <v>5808100</v>
      </c>
      <c r="Z101" s="15">
        <f t="shared" si="74"/>
        <v>37515625</v>
      </c>
      <c r="AA101" s="15">
        <f t="shared" si="75"/>
        <v>75099556</v>
      </c>
      <c r="AB101" s="15">
        <f t="shared" si="76"/>
        <v>27468081</v>
      </c>
      <c r="AC101" s="15">
        <f t="shared" si="77"/>
        <v>786769</v>
      </c>
      <c r="AD101" s="15">
        <f t="shared" si="78"/>
        <v>1</v>
      </c>
      <c r="AE101" s="15">
        <f t="shared" si="79"/>
        <v>0</v>
      </c>
    </row>
    <row r="102" spans="1:31" x14ac:dyDescent="0.3">
      <c r="A102" s="14">
        <v>5</v>
      </c>
      <c r="C102" s="16">
        <f t="shared" si="66"/>
        <v>281</v>
      </c>
      <c r="D102" s="16">
        <f t="shared" si="64"/>
        <v>386846</v>
      </c>
      <c r="E102" s="16">
        <f t="shared" si="64"/>
        <v>1604447</v>
      </c>
      <c r="F102" s="16">
        <f t="shared" si="64"/>
        <v>2599451</v>
      </c>
      <c r="G102" s="16">
        <f t="shared" si="64"/>
        <v>103259</v>
      </c>
      <c r="H102" s="16">
        <f t="shared" si="64"/>
        <v>1</v>
      </c>
      <c r="I102" s="16">
        <f t="shared" si="64"/>
        <v>248</v>
      </c>
      <c r="J102" s="16">
        <f t="shared" si="64"/>
        <v>915587</v>
      </c>
      <c r="K102" s="16">
        <f t="shared" si="64"/>
        <v>4158629</v>
      </c>
      <c r="L102" s="16">
        <f t="shared" si="64"/>
        <v>880104</v>
      </c>
      <c r="M102" s="16">
        <f t="shared" si="64"/>
        <v>-49</v>
      </c>
      <c r="N102" s="16">
        <f t="shared" si="64"/>
        <v>0</v>
      </c>
      <c r="O102" s="16">
        <f t="shared" si="64"/>
        <v>0</v>
      </c>
      <c r="Q102" s="14">
        <v>5</v>
      </c>
      <c r="S102" s="15">
        <f t="shared" si="67"/>
        <v>109561</v>
      </c>
      <c r="T102" s="15">
        <f t="shared" si="68"/>
        <v>2383936</v>
      </c>
      <c r="U102" s="15">
        <f t="shared" si="69"/>
        <v>38925121</v>
      </c>
      <c r="V102" s="15">
        <f t="shared" si="70"/>
        <v>39879225</v>
      </c>
      <c r="W102" s="15">
        <f t="shared" si="71"/>
        <v>1615441</v>
      </c>
      <c r="X102" s="15">
        <f t="shared" si="72"/>
        <v>4</v>
      </c>
      <c r="Y102" s="15">
        <f t="shared" si="73"/>
        <v>30976</v>
      </c>
      <c r="Z102" s="15">
        <f t="shared" si="74"/>
        <v>3900625</v>
      </c>
      <c r="AA102" s="15">
        <f t="shared" si="75"/>
        <v>41075281</v>
      </c>
      <c r="AB102" s="15">
        <f t="shared" si="76"/>
        <v>31922500</v>
      </c>
      <c r="AC102" s="15">
        <f t="shared" si="77"/>
        <v>1185921</v>
      </c>
      <c r="AD102" s="15">
        <f t="shared" si="78"/>
        <v>1</v>
      </c>
      <c r="AE102" s="15">
        <f t="shared" si="79"/>
        <v>0</v>
      </c>
    </row>
    <row r="103" spans="1:31" x14ac:dyDescent="0.3">
      <c r="A103" s="14">
        <v>6</v>
      </c>
      <c r="C103" s="16">
        <f t="shared" si="66"/>
        <v>-4</v>
      </c>
      <c r="D103" s="16">
        <f t="shared" si="64"/>
        <v>92523</v>
      </c>
      <c r="E103" s="16">
        <f t="shared" si="64"/>
        <v>330260</v>
      </c>
      <c r="F103" s="16">
        <f t="shared" si="64"/>
        <v>77079</v>
      </c>
      <c r="G103" s="16">
        <f t="shared" si="64"/>
        <v>1179</v>
      </c>
      <c r="H103" s="16">
        <f t="shared" si="64"/>
        <v>0</v>
      </c>
      <c r="I103" s="16">
        <f t="shared" si="64"/>
        <v>0</v>
      </c>
      <c r="J103" s="16">
        <f t="shared" si="64"/>
        <v>1076</v>
      </c>
      <c r="K103" s="16">
        <f t="shared" si="64"/>
        <v>4538</v>
      </c>
      <c r="L103" s="16">
        <f t="shared" si="64"/>
        <v>0</v>
      </c>
      <c r="M103" s="16">
        <f t="shared" si="64"/>
        <v>-9</v>
      </c>
      <c r="N103" s="16">
        <f t="shared" si="64"/>
        <v>0</v>
      </c>
      <c r="O103" s="16">
        <f t="shared" si="64"/>
        <v>0</v>
      </c>
      <c r="Q103" s="14">
        <v>6</v>
      </c>
      <c r="S103" s="15">
        <f t="shared" si="67"/>
        <v>4225</v>
      </c>
      <c r="T103" s="15">
        <f t="shared" si="68"/>
        <v>1882384</v>
      </c>
      <c r="U103" s="15">
        <f t="shared" si="69"/>
        <v>42837025</v>
      </c>
      <c r="V103" s="15">
        <f t="shared" si="70"/>
        <v>41499364</v>
      </c>
      <c r="W103" s="15">
        <f t="shared" si="71"/>
        <v>1638400</v>
      </c>
      <c r="X103" s="15">
        <f t="shared" si="72"/>
        <v>0</v>
      </c>
      <c r="Y103" s="15">
        <f t="shared" si="73"/>
        <v>1</v>
      </c>
      <c r="Z103" s="15">
        <f t="shared" si="74"/>
        <v>1340964</v>
      </c>
      <c r="AA103" s="15">
        <f t="shared" si="75"/>
        <v>33223696</v>
      </c>
      <c r="AB103" s="15">
        <f t="shared" si="76"/>
        <v>32114889</v>
      </c>
      <c r="AC103" s="15">
        <f t="shared" si="77"/>
        <v>1265625</v>
      </c>
      <c r="AD103" s="15">
        <f t="shared" si="78"/>
        <v>0</v>
      </c>
      <c r="AE103" s="15">
        <f t="shared" si="79"/>
        <v>0</v>
      </c>
    </row>
    <row r="104" spans="1:31" x14ac:dyDescent="0.3">
      <c r="A104" s="14">
        <v>7</v>
      </c>
      <c r="C104" s="16">
        <f t="shared" si="66"/>
        <v>0</v>
      </c>
      <c r="D104" s="16">
        <f t="shared" si="64"/>
        <v>0</v>
      </c>
      <c r="E104" s="16">
        <f t="shared" si="64"/>
        <v>0</v>
      </c>
      <c r="F104" s="16">
        <f t="shared" si="64"/>
        <v>0</v>
      </c>
      <c r="G104" s="16">
        <f t="shared" si="64"/>
        <v>0</v>
      </c>
      <c r="H104" s="16">
        <f t="shared" si="64"/>
        <v>0</v>
      </c>
      <c r="I104" s="16">
        <f t="shared" si="64"/>
        <v>0</v>
      </c>
      <c r="J104" s="16">
        <f t="shared" si="64"/>
        <v>2267</v>
      </c>
      <c r="K104" s="16">
        <f t="shared" si="64"/>
        <v>5658</v>
      </c>
      <c r="L104" s="16">
        <f t="shared" si="64"/>
        <v>-81</v>
      </c>
      <c r="M104" s="16">
        <f t="shared" si="64"/>
        <v>-4</v>
      </c>
      <c r="N104" s="16">
        <f t="shared" si="64"/>
        <v>0</v>
      </c>
      <c r="O104" s="16">
        <f t="shared" si="64"/>
        <v>0</v>
      </c>
      <c r="Q104" s="14">
        <v>7</v>
      </c>
      <c r="S104" s="15">
        <f t="shared" si="67"/>
        <v>0</v>
      </c>
      <c r="T104" s="15">
        <f t="shared" si="68"/>
        <v>1700416</v>
      </c>
      <c r="U104" s="15">
        <f t="shared" si="69"/>
        <v>42614784</v>
      </c>
      <c r="V104" s="15">
        <f t="shared" si="70"/>
        <v>42419169</v>
      </c>
      <c r="W104" s="15">
        <f t="shared" si="71"/>
        <v>1687401</v>
      </c>
      <c r="X104" s="15">
        <f t="shared" si="72"/>
        <v>1</v>
      </c>
      <c r="Y104" s="15">
        <f t="shared" si="73"/>
        <v>0</v>
      </c>
      <c r="Z104" s="15">
        <f t="shared" si="74"/>
        <v>1290496</v>
      </c>
      <c r="AA104" s="15">
        <f t="shared" si="75"/>
        <v>32069569</v>
      </c>
      <c r="AB104" s="15">
        <f t="shared" si="76"/>
        <v>31438449</v>
      </c>
      <c r="AC104" s="15">
        <f t="shared" si="77"/>
        <v>1245456</v>
      </c>
      <c r="AD104" s="15">
        <f t="shared" si="78"/>
        <v>1</v>
      </c>
      <c r="AE104" s="15">
        <f t="shared" si="79"/>
        <v>1</v>
      </c>
    </row>
    <row r="105" spans="1:31" x14ac:dyDescent="0.3">
      <c r="A105" s="14">
        <v>8</v>
      </c>
      <c r="C105" s="16">
        <f t="shared" si="66"/>
        <v>0</v>
      </c>
      <c r="D105" s="16">
        <f t="shared" si="64"/>
        <v>1250</v>
      </c>
      <c r="E105" s="16">
        <f t="shared" si="64"/>
        <v>624294</v>
      </c>
      <c r="F105" s="16">
        <f t="shared" si="64"/>
        <v>2947532</v>
      </c>
      <c r="G105" s="16">
        <f t="shared" si="64"/>
        <v>823986</v>
      </c>
      <c r="H105" s="16">
        <f t="shared" si="64"/>
        <v>670</v>
      </c>
      <c r="I105" s="16">
        <f t="shared" si="64"/>
        <v>649</v>
      </c>
      <c r="J105" s="16">
        <f t="shared" si="64"/>
        <v>699991</v>
      </c>
      <c r="K105" s="16">
        <f t="shared" si="64"/>
        <v>2574896</v>
      </c>
      <c r="L105" s="16">
        <f t="shared" si="64"/>
        <v>546374</v>
      </c>
      <c r="M105" s="16">
        <f t="shared" si="64"/>
        <v>-169</v>
      </c>
      <c r="N105" s="16">
        <f t="shared" si="64"/>
        <v>0</v>
      </c>
      <c r="O105" s="16">
        <f t="shared" si="64"/>
        <v>0</v>
      </c>
      <c r="Q105" s="14">
        <v>8</v>
      </c>
      <c r="S105" s="15">
        <f t="shared" si="67"/>
        <v>1</v>
      </c>
      <c r="T105" s="15">
        <f t="shared" si="68"/>
        <v>1605289</v>
      </c>
      <c r="U105" s="15">
        <f t="shared" si="69"/>
        <v>41576704</v>
      </c>
      <c r="V105" s="15">
        <f t="shared" si="70"/>
        <v>47361924</v>
      </c>
      <c r="W105" s="15">
        <f t="shared" si="71"/>
        <v>3751969</v>
      </c>
      <c r="X105" s="15">
        <f t="shared" si="72"/>
        <v>450241</v>
      </c>
      <c r="Y105" s="15">
        <f t="shared" si="73"/>
        <v>422500</v>
      </c>
      <c r="Z105" s="15">
        <f t="shared" si="74"/>
        <v>3059001</v>
      </c>
      <c r="AA105" s="15">
        <f t="shared" si="75"/>
        <v>35736484</v>
      </c>
      <c r="AB105" s="15">
        <f t="shared" si="76"/>
        <v>31091776</v>
      </c>
      <c r="AC105" s="15">
        <f t="shared" si="77"/>
        <v>1196836</v>
      </c>
      <c r="AD105" s="15">
        <f t="shared" si="78"/>
        <v>1</v>
      </c>
      <c r="AE105" s="15">
        <f t="shared" si="79"/>
        <v>1</v>
      </c>
    </row>
    <row r="106" spans="1:31" x14ac:dyDescent="0.3">
      <c r="A106" s="14">
        <v>9</v>
      </c>
      <c r="C106" s="16">
        <f t="shared" si="66"/>
        <v>0</v>
      </c>
      <c r="D106" s="16">
        <f t="shared" si="64"/>
        <v>11105</v>
      </c>
      <c r="E106" s="16">
        <f t="shared" si="64"/>
        <v>2398391</v>
      </c>
      <c r="F106" s="16">
        <f t="shared" si="64"/>
        <v>7286067</v>
      </c>
      <c r="G106" s="16">
        <f t="shared" si="64"/>
        <v>3029361</v>
      </c>
      <c r="H106" s="16">
        <f t="shared" si="64"/>
        <v>0</v>
      </c>
      <c r="I106" s="16">
        <f t="shared" si="64"/>
        <v>0</v>
      </c>
      <c r="J106" s="16">
        <f t="shared" si="64"/>
        <v>2574740</v>
      </c>
      <c r="K106" s="16">
        <f t="shared" si="64"/>
        <v>6211472</v>
      </c>
      <c r="L106" s="16">
        <f t="shared" si="64"/>
        <v>1837325</v>
      </c>
      <c r="M106" s="16">
        <f t="shared" si="64"/>
        <v>466</v>
      </c>
      <c r="N106" s="16">
        <f t="shared" si="64"/>
        <v>0</v>
      </c>
      <c r="O106" s="16">
        <f t="shared" si="64"/>
        <v>1</v>
      </c>
      <c r="Q106" s="14">
        <v>9</v>
      </c>
      <c r="S106" s="15">
        <f t="shared" si="67"/>
        <v>1</v>
      </c>
      <c r="T106" s="15">
        <f t="shared" si="68"/>
        <v>1044484</v>
      </c>
      <c r="U106" s="15">
        <f t="shared" si="69"/>
        <v>31708161</v>
      </c>
      <c r="V106" s="15">
        <f t="shared" si="70"/>
        <v>59907600</v>
      </c>
      <c r="W106" s="15">
        <f t="shared" si="71"/>
        <v>18879025</v>
      </c>
      <c r="X106" s="15">
        <f t="shared" si="72"/>
        <v>11189025</v>
      </c>
      <c r="Y106" s="15">
        <f t="shared" si="73"/>
        <v>10705984</v>
      </c>
      <c r="Z106" s="15">
        <f t="shared" si="74"/>
        <v>17497489</v>
      </c>
      <c r="AA106" s="15">
        <f t="shared" si="75"/>
        <v>49505296</v>
      </c>
      <c r="AB106" s="15">
        <f t="shared" si="76"/>
        <v>23726641</v>
      </c>
      <c r="AC106" s="15">
        <f t="shared" si="77"/>
        <v>751689</v>
      </c>
      <c r="AD106" s="15">
        <f t="shared" si="78"/>
        <v>1</v>
      </c>
      <c r="AE106" s="15">
        <f t="shared" si="79"/>
        <v>4</v>
      </c>
    </row>
    <row r="107" spans="1:31" x14ac:dyDescent="0.3">
      <c r="A107" s="14">
        <v>10</v>
      </c>
      <c r="C107" s="16">
        <f t="shared" si="66"/>
        <v>0</v>
      </c>
      <c r="D107" s="16">
        <f t="shared" si="64"/>
        <v>25226</v>
      </c>
      <c r="E107" s="16">
        <f t="shared" si="64"/>
        <v>1061569</v>
      </c>
      <c r="F107" s="16">
        <f t="shared" si="64"/>
        <v>2191452</v>
      </c>
      <c r="G107" s="16">
        <f t="shared" si="64"/>
        <v>777744</v>
      </c>
      <c r="H107" s="16">
        <f t="shared" si="64"/>
        <v>0</v>
      </c>
      <c r="I107" s="16">
        <f t="shared" si="64"/>
        <v>0</v>
      </c>
      <c r="J107" s="16">
        <f t="shared" si="64"/>
        <v>658447</v>
      </c>
      <c r="K107" s="16">
        <f t="shared" si="64"/>
        <v>1656345</v>
      </c>
      <c r="L107" s="16">
        <f t="shared" si="64"/>
        <v>450000</v>
      </c>
      <c r="M107" s="16">
        <f t="shared" si="64"/>
        <v>-36</v>
      </c>
      <c r="N107" s="16">
        <f t="shared" si="64"/>
        <v>0</v>
      </c>
      <c r="O107" s="16">
        <f t="shared" si="64"/>
        <v>0</v>
      </c>
      <c r="Q107" s="14">
        <v>10</v>
      </c>
      <c r="S107" s="15">
        <f t="shared" si="67"/>
        <v>1024</v>
      </c>
      <c r="T107" s="15">
        <f t="shared" si="68"/>
        <v>223729</v>
      </c>
      <c r="U107" s="15">
        <f t="shared" si="69"/>
        <v>4756761</v>
      </c>
      <c r="V107" s="15">
        <f t="shared" si="70"/>
        <v>15760900</v>
      </c>
      <c r="W107" s="15">
        <f t="shared" si="71"/>
        <v>12418576</v>
      </c>
      <c r="X107" s="15">
        <f t="shared" si="72"/>
        <v>10982596</v>
      </c>
      <c r="Y107" s="15">
        <f t="shared" si="73"/>
        <v>11122225</v>
      </c>
      <c r="Z107" s="15">
        <f t="shared" si="74"/>
        <v>12089529</v>
      </c>
      <c r="AA107" s="15">
        <f t="shared" si="75"/>
        <v>13147876</v>
      </c>
      <c r="AB107" s="15">
        <f t="shared" si="76"/>
        <v>2496400</v>
      </c>
      <c r="AC107" s="15">
        <f t="shared" si="77"/>
        <v>47089</v>
      </c>
      <c r="AD107" s="15">
        <f t="shared" si="78"/>
        <v>1</v>
      </c>
      <c r="AE107" s="15">
        <f t="shared" si="79"/>
        <v>0</v>
      </c>
    </row>
    <row r="108" spans="1:31" x14ac:dyDescent="0.3">
      <c r="A108" s="14">
        <v>11</v>
      </c>
      <c r="C108" s="16">
        <f t="shared" si="66"/>
        <v>4375</v>
      </c>
      <c r="D108" s="16">
        <f t="shared" si="64"/>
        <v>6092</v>
      </c>
      <c r="E108" s="16">
        <f t="shared" si="64"/>
        <v>80549</v>
      </c>
      <c r="F108" s="16">
        <f t="shared" si="64"/>
        <v>80181</v>
      </c>
      <c r="G108" s="16">
        <f t="shared" si="64"/>
        <v>9965</v>
      </c>
      <c r="H108" s="16">
        <f t="shared" si="64"/>
        <v>0</v>
      </c>
      <c r="I108" s="16">
        <f t="shared" si="64"/>
        <v>0</v>
      </c>
      <c r="J108" s="16">
        <f t="shared" si="64"/>
        <v>32503</v>
      </c>
      <c r="K108" s="16">
        <f t="shared" si="64"/>
        <v>110491</v>
      </c>
      <c r="L108" s="16">
        <f t="shared" si="64"/>
        <v>23879</v>
      </c>
      <c r="M108" s="16">
        <f t="shared" si="64"/>
        <v>-1</v>
      </c>
      <c r="N108" s="16">
        <f t="shared" si="64"/>
        <v>0</v>
      </c>
      <c r="O108" s="16">
        <f t="shared" si="64"/>
        <v>0</v>
      </c>
      <c r="Q108" s="14">
        <v>11</v>
      </c>
      <c r="S108" s="15">
        <f t="shared" si="67"/>
        <v>50625</v>
      </c>
      <c r="T108" s="15">
        <f t="shared" si="68"/>
        <v>656100</v>
      </c>
      <c r="U108" s="15">
        <f t="shared" si="69"/>
        <v>784996</v>
      </c>
      <c r="V108" s="15">
        <f t="shared" si="70"/>
        <v>532900</v>
      </c>
      <c r="W108" s="15">
        <f t="shared" si="71"/>
        <v>442225</v>
      </c>
      <c r="X108" s="15">
        <f t="shared" si="72"/>
        <v>434281</v>
      </c>
      <c r="Y108" s="15">
        <f t="shared" si="73"/>
        <v>448900</v>
      </c>
      <c r="Z108" s="15">
        <f t="shared" si="74"/>
        <v>487204</v>
      </c>
      <c r="AA108" s="15">
        <f t="shared" si="75"/>
        <v>567009</v>
      </c>
      <c r="AB108" s="15">
        <f t="shared" si="76"/>
        <v>128881</v>
      </c>
      <c r="AC108" s="15">
        <f t="shared" si="77"/>
        <v>2809</v>
      </c>
      <c r="AD108" s="15">
        <f t="shared" si="78"/>
        <v>0</v>
      </c>
      <c r="AE108" s="15">
        <f t="shared" si="79"/>
        <v>0</v>
      </c>
    </row>
    <row r="109" spans="1:31" x14ac:dyDescent="0.3">
      <c r="A109" s="14">
        <v>12</v>
      </c>
      <c r="C109" s="16">
        <f t="shared" si="66"/>
        <v>16850</v>
      </c>
      <c r="D109" s="16">
        <f t="shared" si="64"/>
        <v>18145</v>
      </c>
      <c r="E109" s="16">
        <f t="shared" si="64"/>
        <v>124</v>
      </c>
      <c r="F109" s="16">
        <f t="shared" si="64"/>
        <v>47</v>
      </c>
      <c r="G109" s="16">
        <f t="shared" si="64"/>
        <v>1</v>
      </c>
      <c r="H109" s="16">
        <f t="shared" si="64"/>
        <v>0</v>
      </c>
      <c r="I109" s="16">
        <f t="shared" si="64"/>
        <v>0</v>
      </c>
      <c r="J109" s="16">
        <f t="shared" si="64"/>
        <v>-4</v>
      </c>
      <c r="K109" s="16">
        <f t="shared" si="64"/>
        <v>112</v>
      </c>
      <c r="L109" s="16">
        <f t="shared" si="64"/>
        <v>112</v>
      </c>
      <c r="M109" s="16">
        <f t="shared" si="64"/>
        <v>-4</v>
      </c>
      <c r="N109" s="16">
        <f t="shared" si="64"/>
        <v>0</v>
      </c>
      <c r="O109" s="16">
        <f t="shared" si="64"/>
        <v>0</v>
      </c>
      <c r="Q109" s="14">
        <v>12</v>
      </c>
      <c r="S109" s="15">
        <f t="shared" si="67"/>
        <v>176400</v>
      </c>
      <c r="T109" s="15">
        <f t="shared" si="68"/>
        <v>567009</v>
      </c>
      <c r="U109" s="15">
        <f t="shared" si="69"/>
        <v>83521</v>
      </c>
      <c r="V109" s="15">
        <f t="shared" si="70"/>
        <v>1089</v>
      </c>
      <c r="W109" s="15">
        <f t="shared" si="71"/>
        <v>9</v>
      </c>
      <c r="X109" s="15">
        <f t="shared" si="72"/>
        <v>0</v>
      </c>
      <c r="Y109" s="15">
        <f t="shared" si="73"/>
        <v>0</v>
      </c>
      <c r="Z109" s="15">
        <f t="shared" si="74"/>
        <v>1936</v>
      </c>
      <c r="AA109" s="15">
        <f t="shared" si="75"/>
        <v>45369</v>
      </c>
      <c r="AB109" s="15">
        <f t="shared" si="76"/>
        <v>37636</v>
      </c>
      <c r="AC109" s="15">
        <f t="shared" si="77"/>
        <v>1444</v>
      </c>
      <c r="AD109" s="15">
        <f t="shared" si="78"/>
        <v>0</v>
      </c>
      <c r="AE109" s="15">
        <f t="shared" si="79"/>
        <v>0</v>
      </c>
    </row>
    <row r="110" spans="1:31" x14ac:dyDescent="0.3"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</row>
    <row r="111" spans="1:31" x14ac:dyDescent="0.3">
      <c r="F111" s="12" t="s">
        <v>25</v>
      </c>
      <c r="G111" s="12">
        <v>0.04</v>
      </c>
    </row>
    <row r="113" spans="1:31" x14ac:dyDescent="0.3">
      <c r="D113" s="12" t="s">
        <v>24</v>
      </c>
      <c r="T113" s="12" t="s">
        <v>24</v>
      </c>
      <c r="U113" s="12" t="s">
        <v>26</v>
      </c>
    </row>
    <row r="114" spans="1:31" x14ac:dyDescent="0.3">
      <c r="C114" s="14">
        <v>0</v>
      </c>
      <c r="D114" s="14">
        <v>1</v>
      </c>
      <c r="E114" s="14">
        <v>2</v>
      </c>
      <c r="F114" s="14">
        <v>3</v>
      </c>
      <c r="G114" s="14">
        <v>4</v>
      </c>
      <c r="H114" s="14">
        <v>5</v>
      </c>
      <c r="I114" s="14">
        <v>6</v>
      </c>
      <c r="J114" s="14">
        <v>7</v>
      </c>
      <c r="K114" s="14">
        <v>8</v>
      </c>
      <c r="L114" s="14">
        <v>9</v>
      </c>
      <c r="M114" s="14">
        <v>10</v>
      </c>
      <c r="N114" s="14">
        <v>11</v>
      </c>
      <c r="O114" s="14">
        <v>12</v>
      </c>
      <c r="S114" s="14">
        <v>0</v>
      </c>
      <c r="T114" s="14">
        <v>1</v>
      </c>
      <c r="U114" s="14">
        <v>2</v>
      </c>
      <c r="V114" s="14">
        <v>3</v>
      </c>
      <c r="W114" s="14">
        <v>4</v>
      </c>
      <c r="X114" s="14">
        <v>5</v>
      </c>
      <c r="Y114" s="14">
        <v>6</v>
      </c>
      <c r="Z114" s="14">
        <v>7</v>
      </c>
      <c r="AA114" s="14">
        <v>8</v>
      </c>
      <c r="AB114" s="14">
        <v>9</v>
      </c>
      <c r="AC114" s="14">
        <v>10</v>
      </c>
      <c r="AD114" s="14">
        <v>11</v>
      </c>
      <c r="AE114" s="14">
        <v>12</v>
      </c>
    </row>
    <row r="116" spans="1:31" x14ac:dyDescent="0.3">
      <c r="A116" s="14">
        <v>0</v>
      </c>
      <c r="C116" s="16">
        <f t="shared" ref="C116:C128" si="80">ROUNDDOWN(C97-$G$111*S97,0)</f>
        <v>0</v>
      </c>
      <c r="D116" s="16">
        <f t="shared" ref="D116:D128" si="81">ROUNDDOWN(D97-$G$111*T97,0)</f>
        <v>0</v>
      </c>
      <c r="E116" s="16">
        <f t="shared" ref="E116:E128" si="82">ROUNDDOWN(E97-$G$111*U97,0)</f>
        <v>0</v>
      </c>
      <c r="F116" s="16">
        <f t="shared" ref="F116:F128" si="83">ROUNDDOWN(F97-$G$111*V97,0)</f>
        <v>0</v>
      </c>
      <c r="G116" s="16">
        <f t="shared" ref="G116:G128" si="84">ROUNDDOWN(G97-$G$111*W97,0)</f>
        <v>1983</v>
      </c>
      <c r="H116" s="16">
        <f t="shared" ref="H116:H128" si="85">ROUNDDOWN(H97-$G$111*X97,0)</f>
        <v>39226</v>
      </c>
      <c r="I116" s="16">
        <f t="shared" ref="I116:I128" si="86">ROUNDDOWN(I97-$G$111*Y97,0)</f>
        <v>12176</v>
      </c>
      <c r="J116" s="16">
        <f t="shared" ref="J116:J128" si="87">ROUNDDOWN(J97-$G$111*Z97,0)</f>
        <v>-39</v>
      </c>
      <c r="K116" s="16">
        <f t="shared" ref="K116:K128" si="88">ROUNDDOWN(K97-$G$111*AA97,0)</f>
        <v>0</v>
      </c>
      <c r="L116" s="16">
        <f t="shared" ref="L116:L128" si="89">ROUNDDOWN(L97-$G$111*AB97,0)</f>
        <v>0</v>
      </c>
      <c r="M116" s="16">
        <f t="shared" ref="M116:M128" si="90">ROUNDDOWN(M97-$G$111*AC97,0)</f>
        <v>0</v>
      </c>
      <c r="N116" s="16">
        <f t="shared" ref="N116:N128" si="91">ROUNDDOWN(N97-$G$111*AD97,0)</f>
        <v>0</v>
      </c>
      <c r="O116" s="16">
        <f t="shared" ref="O116:O128" si="92">ROUNDDOWN(O97-$G$111*AE97,0)</f>
        <v>0</v>
      </c>
      <c r="Q116" s="14">
        <v>0</v>
      </c>
      <c r="S116" s="16">
        <f t="shared" ref="S116:S128" si="93">ROUND((C116+$L$131)*$K$131,0)</f>
        <v>52</v>
      </c>
      <c r="T116" s="16">
        <f t="shared" ref="T116:T128" si="94">ROUND((D116+$L$131)*$K$131,0)</f>
        <v>52</v>
      </c>
      <c r="U116" s="16">
        <f t="shared" ref="U116:U128" si="95">ROUND((E116+$L$131)*$K$131,0)</f>
        <v>52</v>
      </c>
      <c r="V116" s="16">
        <f t="shared" ref="V116:V128" si="96">ROUND((F116+$L$131)*$K$131,0)</f>
        <v>52</v>
      </c>
      <c r="W116" s="16">
        <f t="shared" ref="W116:W128" si="97">ROUND((G116+$L$131)*$K$131,0)</f>
        <v>53</v>
      </c>
      <c r="X116" s="16">
        <f t="shared" ref="X116:X128" si="98">ROUND((H116+$L$131)*$K$131,0)</f>
        <v>54</v>
      </c>
      <c r="Y116" s="16">
        <f t="shared" ref="Y116:Y128" si="99">ROUND((I116+$L$131)*$K$131,0)</f>
        <v>53</v>
      </c>
      <c r="Z116" s="16">
        <f t="shared" ref="Z116:Z128" si="100">ROUND((J116+$L$131)*$K$131,0)</f>
        <v>52</v>
      </c>
      <c r="AA116" s="16">
        <f t="shared" ref="AA116:AA128" si="101">ROUND((K116+$L$131)*$K$131,0)</f>
        <v>52</v>
      </c>
      <c r="AB116" s="16">
        <f t="shared" ref="AB116:AB128" si="102">ROUND((L116+$L$131)*$K$131,0)</f>
        <v>52</v>
      </c>
      <c r="AC116" s="16">
        <f t="shared" ref="AC116:AC128" si="103">ROUND((M116+$L$131)*$K$131,0)</f>
        <v>52</v>
      </c>
      <c r="AD116" s="16">
        <f t="shared" ref="AD116:AD128" si="104">ROUND((N116+$L$131)*$K$131,0)</f>
        <v>52</v>
      </c>
      <c r="AE116" s="16">
        <f t="shared" ref="AE116:AE128" si="105">ROUND((O116+$L$131)*$K$131,0)</f>
        <v>52</v>
      </c>
    </row>
    <row r="117" spans="1:31" x14ac:dyDescent="0.3">
      <c r="A117" s="14">
        <v>1</v>
      </c>
      <c r="C117" s="16">
        <f t="shared" si="80"/>
        <v>0</v>
      </c>
      <c r="D117" s="16">
        <f t="shared" si="81"/>
        <v>0</v>
      </c>
      <c r="E117" s="16">
        <f t="shared" si="82"/>
        <v>0</v>
      </c>
      <c r="F117" s="16">
        <f t="shared" si="83"/>
        <v>-1750</v>
      </c>
      <c r="G117" s="16">
        <f t="shared" si="84"/>
        <v>281195</v>
      </c>
      <c r="H117" s="16">
        <f t="shared" si="85"/>
        <v>457128</v>
      </c>
      <c r="I117" s="16">
        <f t="shared" si="86"/>
        <v>213786</v>
      </c>
      <c r="J117" s="16">
        <f t="shared" si="87"/>
        <v>-50</v>
      </c>
      <c r="K117" s="16">
        <f t="shared" si="88"/>
        <v>0</v>
      </c>
      <c r="L117" s="16">
        <f t="shared" si="89"/>
        <v>0</v>
      </c>
      <c r="M117" s="16">
        <f t="shared" si="90"/>
        <v>0</v>
      </c>
      <c r="N117" s="16">
        <f t="shared" si="91"/>
        <v>0</v>
      </c>
      <c r="O117" s="16">
        <f t="shared" si="92"/>
        <v>0</v>
      </c>
      <c r="Q117" s="14">
        <v>1</v>
      </c>
      <c r="S117" s="16">
        <f t="shared" si="93"/>
        <v>52</v>
      </c>
      <c r="T117" s="16">
        <f t="shared" si="94"/>
        <v>52</v>
      </c>
      <c r="U117" s="16">
        <f t="shared" si="95"/>
        <v>52</v>
      </c>
      <c r="V117" s="16">
        <f t="shared" si="96"/>
        <v>52</v>
      </c>
      <c r="W117" s="16">
        <f t="shared" si="97"/>
        <v>60</v>
      </c>
      <c r="X117" s="16">
        <f t="shared" si="98"/>
        <v>65</v>
      </c>
      <c r="Y117" s="16">
        <f t="shared" si="99"/>
        <v>58</v>
      </c>
      <c r="Z117" s="16">
        <f t="shared" si="100"/>
        <v>52</v>
      </c>
      <c r="AA117" s="16">
        <f t="shared" si="101"/>
        <v>52</v>
      </c>
      <c r="AB117" s="16">
        <f t="shared" si="102"/>
        <v>52</v>
      </c>
      <c r="AC117" s="16">
        <f t="shared" si="103"/>
        <v>52</v>
      </c>
      <c r="AD117" s="16">
        <f t="shared" si="104"/>
        <v>52</v>
      </c>
      <c r="AE117" s="16">
        <f t="shared" si="105"/>
        <v>52</v>
      </c>
    </row>
    <row r="118" spans="1:31" x14ac:dyDescent="0.3">
      <c r="A118" s="14">
        <v>2</v>
      </c>
      <c r="C118" s="16">
        <f t="shared" si="80"/>
        <v>0</v>
      </c>
      <c r="D118" s="16">
        <f t="shared" si="81"/>
        <v>0</v>
      </c>
      <c r="E118" s="16">
        <f t="shared" si="82"/>
        <v>-1936</v>
      </c>
      <c r="F118" s="16">
        <f t="shared" si="83"/>
        <v>-156187</v>
      </c>
      <c r="G118" s="16">
        <f t="shared" si="84"/>
        <v>904241</v>
      </c>
      <c r="H118" s="16">
        <f t="shared" si="85"/>
        <v>3830556</v>
      </c>
      <c r="I118" s="16">
        <f t="shared" si="86"/>
        <v>-962384</v>
      </c>
      <c r="J118" s="16">
        <f t="shared" si="87"/>
        <v>-151103</v>
      </c>
      <c r="K118" s="16">
        <f t="shared" si="88"/>
        <v>57392</v>
      </c>
      <c r="L118" s="16">
        <f t="shared" si="89"/>
        <v>-1074</v>
      </c>
      <c r="M118" s="16">
        <f t="shared" si="90"/>
        <v>0</v>
      </c>
      <c r="N118" s="16">
        <f t="shared" si="91"/>
        <v>0</v>
      </c>
      <c r="O118" s="16">
        <f t="shared" si="92"/>
        <v>0</v>
      </c>
      <c r="Q118" s="14">
        <v>2</v>
      </c>
      <c r="S118" s="16">
        <f t="shared" si="93"/>
        <v>52</v>
      </c>
      <c r="T118" s="16">
        <f t="shared" si="94"/>
        <v>52</v>
      </c>
      <c r="U118" s="16">
        <f t="shared" si="95"/>
        <v>52</v>
      </c>
      <c r="V118" s="16">
        <f t="shared" si="96"/>
        <v>48</v>
      </c>
      <c r="W118" s="16">
        <f t="shared" si="97"/>
        <v>77</v>
      </c>
      <c r="X118" s="16">
        <f t="shared" si="98"/>
        <v>156</v>
      </c>
      <c r="Y118" s="16">
        <f t="shared" si="99"/>
        <v>26</v>
      </c>
      <c r="Z118" s="16">
        <f t="shared" si="100"/>
        <v>48</v>
      </c>
      <c r="AA118" s="16">
        <f t="shared" si="101"/>
        <v>54</v>
      </c>
      <c r="AB118" s="16">
        <f t="shared" si="102"/>
        <v>52</v>
      </c>
      <c r="AC118" s="16">
        <f t="shared" si="103"/>
        <v>52</v>
      </c>
      <c r="AD118" s="16">
        <f t="shared" si="104"/>
        <v>52</v>
      </c>
      <c r="AE118" s="16">
        <f t="shared" si="105"/>
        <v>52</v>
      </c>
    </row>
    <row r="119" spans="1:31" x14ac:dyDescent="0.3">
      <c r="A119" s="14">
        <v>3</v>
      </c>
      <c r="C119" s="16">
        <f t="shared" si="80"/>
        <v>-69</v>
      </c>
      <c r="D119" s="16">
        <f t="shared" si="81"/>
        <v>7122</v>
      </c>
      <c r="E119" s="16">
        <f t="shared" si="82"/>
        <v>342787</v>
      </c>
      <c r="F119" s="16">
        <f t="shared" si="83"/>
        <v>-712674</v>
      </c>
      <c r="G119" s="16">
        <f t="shared" si="84"/>
        <v>-772920</v>
      </c>
      <c r="H119" s="16">
        <f t="shared" si="85"/>
        <v>2102161</v>
      </c>
      <c r="I119" s="16">
        <f t="shared" si="86"/>
        <v>-1932748</v>
      </c>
      <c r="J119" s="16">
        <f t="shared" si="87"/>
        <v>1301053</v>
      </c>
      <c r="K119" s="16">
        <f t="shared" si="88"/>
        <v>2963767</v>
      </c>
      <c r="L119" s="16">
        <f t="shared" si="89"/>
        <v>593248</v>
      </c>
      <c r="M119" s="16">
        <f t="shared" si="90"/>
        <v>-936</v>
      </c>
      <c r="N119" s="16">
        <f t="shared" si="91"/>
        <v>0</v>
      </c>
      <c r="O119" s="16">
        <f t="shared" si="92"/>
        <v>0</v>
      </c>
      <c r="Q119" s="14">
        <v>3</v>
      </c>
      <c r="S119" s="16">
        <f t="shared" si="93"/>
        <v>52</v>
      </c>
      <c r="T119" s="16">
        <f t="shared" si="94"/>
        <v>53</v>
      </c>
      <c r="U119" s="16">
        <f t="shared" si="95"/>
        <v>62</v>
      </c>
      <c r="V119" s="16">
        <f t="shared" si="96"/>
        <v>33</v>
      </c>
      <c r="W119" s="16">
        <f t="shared" si="97"/>
        <v>31</v>
      </c>
      <c r="X119" s="16">
        <f t="shared" si="98"/>
        <v>110</v>
      </c>
      <c r="Y119" s="16">
        <f t="shared" si="99"/>
        <v>0</v>
      </c>
      <c r="Z119" s="16">
        <f t="shared" si="100"/>
        <v>88</v>
      </c>
      <c r="AA119" s="16">
        <f t="shared" si="101"/>
        <v>133</v>
      </c>
      <c r="AB119" s="16">
        <f t="shared" si="102"/>
        <v>69</v>
      </c>
      <c r="AC119" s="16">
        <f t="shared" si="103"/>
        <v>52</v>
      </c>
      <c r="AD119" s="16">
        <f t="shared" si="104"/>
        <v>52</v>
      </c>
      <c r="AE119" s="16">
        <f t="shared" si="105"/>
        <v>52</v>
      </c>
    </row>
    <row r="120" spans="1:31" x14ac:dyDescent="0.3">
      <c r="A120" s="14">
        <v>4</v>
      </c>
      <c r="C120" s="16">
        <f t="shared" si="80"/>
        <v>-4358</v>
      </c>
      <c r="D120" s="16">
        <f t="shared" si="81"/>
        <v>194089</v>
      </c>
      <c r="E120" s="16">
        <f t="shared" si="82"/>
        <v>2015947</v>
      </c>
      <c r="F120" s="16">
        <f t="shared" si="83"/>
        <v>2761648</v>
      </c>
      <c r="G120" s="16">
        <f t="shared" si="84"/>
        <v>12682</v>
      </c>
      <c r="H120" s="16">
        <f t="shared" si="85"/>
        <v>65406</v>
      </c>
      <c r="I120" s="16">
        <f t="shared" si="86"/>
        <v>281627</v>
      </c>
      <c r="J120" s="16">
        <f t="shared" si="87"/>
        <v>3165175</v>
      </c>
      <c r="K120" s="16">
        <f t="shared" si="88"/>
        <v>7458240</v>
      </c>
      <c r="L120" s="16">
        <f t="shared" si="89"/>
        <v>2070018</v>
      </c>
      <c r="M120" s="16">
        <f t="shared" si="90"/>
        <v>-30633</v>
      </c>
      <c r="N120" s="16">
        <f t="shared" si="91"/>
        <v>0</v>
      </c>
      <c r="O120" s="16">
        <f t="shared" si="92"/>
        <v>0</v>
      </c>
      <c r="Q120" s="14">
        <v>4</v>
      </c>
      <c r="S120" s="16">
        <f t="shared" si="93"/>
        <v>52</v>
      </c>
      <c r="T120" s="16">
        <f t="shared" si="94"/>
        <v>58</v>
      </c>
      <c r="U120" s="16">
        <f t="shared" si="95"/>
        <v>107</v>
      </c>
      <c r="V120" s="16">
        <f t="shared" si="96"/>
        <v>127</v>
      </c>
      <c r="W120" s="16">
        <f t="shared" si="97"/>
        <v>53</v>
      </c>
      <c r="X120" s="16">
        <f t="shared" si="98"/>
        <v>54</v>
      </c>
      <c r="Y120" s="16">
        <f t="shared" si="99"/>
        <v>60</v>
      </c>
      <c r="Z120" s="16">
        <f t="shared" si="100"/>
        <v>138</v>
      </c>
      <c r="AA120" s="16">
        <f t="shared" si="101"/>
        <v>255</v>
      </c>
      <c r="AB120" s="16">
        <f t="shared" si="102"/>
        <v>109</v>
      </c>
      <c r="AC120" s="16">
        <f t="shared" si="103"/>
        <v>52</v>
      </c>
      <c r="AD120" s="16">
        <f t="shared" si="104"/>
        <v>52</v>
      </c>
      <c r="AE120" s="16">
        <f t="shared" si="105"/>
        <v>52</v>
      </c>
    </row>
    <row r="121" spans="1:31" x14ac:dyDescent="0.3">
      <c r="A121" s="14">
        <v>5</v>
      </c>
      <c r="C121" s="16">
        <f t="shared" si="80"/>
        <v>-4101</v>
      </c>
      <c r="D121" s="16">
        <f t="shared" si="81"/>
        <v>291488</v>
      </c>
      <c r="E121" s="16">
        <f t="shared" si="82"/>
        <v>47442</v>
      </c>
      <c r="F121" s="16">
        <f t="shared" si="83"/>
        <v>1004282</v>
      </c>
      <c r="G121" s="16">
        <f t="shared" si="84"/>
        <v>38641</v>
      </c>
      <c r="H121" s="16">
        <f t="shared" si="85"/>
        <v>0</v>
      </c>
      <c r="I121" s="16">
        <f t="shared" si="86"/>
        <v>-991</v>
      </c>
      <c r="J121" s="16">
        <f t="shared" si="87"/>
        <v>759562</v>
      </c>
      <c r="K121" s="16">
        <f t="shared" si="88"/>
        <v>2515617</v>
      </c>
      <c r="L121" s="16">
        <f t="shared" si="89"/>
        <v>-396796</v>
      </c>
      <c r="M121" s="16">
        <f t="shared" si="90"/>
        <v>-47485</v>
      </c>
      <c r="N121" s="16">
        <f t="shared" si="91"/>
        <v>0</v>
      </c>
      <c r="O121" s="16">
        <f t="shared" si="92"/>
        <v>0</v>
      </c>
      <c r="Q121" s="14">
        <v>5</v>
      </c>
      <c r="S121" s="16">
        <f t="shared" si="93"/>
        <v>52</v>
      </c>
      <c r="T121" s="16">
        <f t="shared" si="94"/>
        <v>60</v>
      </c>
      <c r="U121" s="16">
        <f t="shared" si="95"/>
        <v>54</v>
      </c>
      <c r="V121" s="16">
        <f t="shared" si="96"/>
        <v>80</v>
      </c>
      <c r="W121" s="16">
        <f t="shared" si="97"/>
        <v>54</v>
      </c>
      <c r="X121" s="16">
        <f t="shared" si="98"/>
        <v>52</v>
      </c>
      <c r="Y121" s="16">
        <f t="shared" si="99"/>
        <v>52</v>
      </c>
      <c r="Z121" s="16">
        <f t="shared" si="100"/>
        <v>73</v>
      </c>
      <c r="AA121" s="16">
        <f t="shared" si="101"/>
        <v>121</v>
      </c>
      <c r="AB121" s="16">
        <f t="shared" si="102"/>
        <v>42</v>
      </c>
      <c r="AC121" s="16">
        <f t="shared" si="103"/>
        <v>51</v>
      </c>
      <c r="AD121" s="16">
        <f t="shared" si="104"/>
        <v>52</v>
      </c>
      <c r="AE121" s="16">
        <f t="shared" si="105"/>
        <v>52</v>
      </c>
    </row>
    <row r="122" spans="1:31" x14ac:dyDescent="0.3">
      <c r="A122" s="14">
        <v>6</v>
      </c>
      <c r="C122" s="16">
        <f t="shared" si="80"/>
        <v>-173</v>
      </c>
      <c r="D122" s="16">
        <f t="shared" si="81"/>
        <v>17227</v>
      </c>
      <c r="E122" s="16">
        <f t="shared" si="82"/>
        <v>-1383221</v>
      </c>
      <c r="F122" s="16">
        <f t="shared" si="83"/>
        <v>-1582895</v>
      </c>
      <c r="G122" s="16">
        <f t="shared" si="84"/>
        <v>-64357</v>
      </c>
      <c r="H122" s="16">
        <f t="shared" si="85"/>
        <v>0</v>
      </c>
      <c r="I122" s="16">
        <f t="shared" si="86"/>
        <v>0</v>
      </c>
      <c r="J122" s="16">
        <f t="shared" si="87"/>
        <v>-52562</v>
      </c>
      <c r="K122" s="16">
        <f t="shared" si="88"/>
        <v>-1324409</v>
      </c>
      <c r="L122" s="16">
        <f t="shared" si="89"/>
        <v>-1284595</v>
      </c>
      <c r="M122" s="16">
        <f t="shared" si="90"/>
        <v>-50634</v>
      </c>
      <c r="N122" s="16">
        <f t="shared" si="91"/>
        <v>0</v>
      </c>
      <c r="O122" s="16">
        <f t="shared" si="92"/>
        <v>0</v>
      </c>
      <c r="Q122" s="14">
        <v>6</v>
      </c>
      <c r="S122" s="16">
        <f t="shared" si="93"/>
        <v>52</v>
      </c>
      <c r="T122" s="16">
        <f t="shared" si="94"/>
        <v>53</v>
      </c>
      <c r="U122" s="16">
        <f t="shared" si="95"/>
        <v>15</v>
      </c>
      <c r="V122" s="16">
        <f t="shared" si="96"/>
        <v>9</v>
      </c>
      <c r="W122" s="16">
        <f t="shared" si="97"/>
        <v>51</v>
      </c>
      <c r="X122" s="16">
        <f t="shared" si="98"/>
        <v>52</v>
      </c>
      <c r="Y122" s="16">
        <f t="shared" si="99"/>
        <v>52</v>
      </c>
      <c r="Z122" s="16">
        <f t="shared" si="100"/>
        <v>51</v>
      </c>
      <c r="AA122" s="16">
        <f t="shared" si="101"/>
        <v>17</v>
      </c>
      <c r="AB122" s="16">
        <f t="shared" si="102"/>
        <v>18</v>
      </c>
      <c r="AC122" s="16">
        <f t="shared" si="103"/>
        <v>51</v>
      </c>
      <c r="AD122" s="16">
        <f t="shared" si="104"/>
        <v>52</v>
      </c>
      <c r="AE122" s="16">
        <f t="shared" si="105"/>
        <v>52</v>
      </c>
    </row>
    <row r="123" spans="1:31" x14ac:dyDescent="0.3">
      <c r="A123" s="14">
        <v>7</v>
      </c>
      <c r="C123" s="16">
        <f t="shared" si="80"/>
        <v>0</v>
      </c>
      <c r="D123" s="16">
        <f t="shared" si="81"/>
        <v>-68016</v>
      </c>
      <c r="E123" s="16">
        <f t="shared" si="82"/>
        <v>-1704591</v>
      </c>
      <c r="F123" s="16">
        <f t="shared" si="83"/>
        <v>-1696766</v>
      </c>
      <c r="G123" s="16">
        <f t="shared" si="84"/>
        <v>-67496</v>
      </c>
      <c r="H123" s="16">
        <f t="shared" si="85"/>
        <v>0</v>
      </c>
      <c r="I123" s="16">
        <f t="shared" si="86"/>
        <v>0</v>
      </c>
      <c r="J123" s="16">
        <f t="shared" si="87"/>
        <v>-49352</v>
      </c>
      <c r="K123" s="16">
        <f t="shared" si="88"/>
        <v>-1277124</v>
      </c>
      <c r="L123" s="16">
        <f t="shared" si="89"/>
        <v>-1257618</v>
      </c>
      <c r="M123" s="16">
        <f t="shared" si="90"/>
        <v>-49822</v>
      </c>
      <c r="N123" s="16">
        <f t="shared" si="91"/>
        <v>0</v>
      </c>
      <c r="O123" s="16">
        <f t="shared" si="92"/>
        <v>0</v>
      </c>
      <c r="Q123" s="14">
        <v>7</v>
      </c>
      <c r="S123" s="16">
        <f t="shared" si="93"/>
        <v>52</v>
      </c>
      <c r="T123" s="16">
        <f t="shared" si="94"/>
        <v>51</v>
      </c>
      <c r="U123" s="16">
        <f t="shared" si="95"/>
        <v>6</v>
      </c>
      <c r="V123" s="16">
        <f t="shared" si="96"/>
        <v>6</v>
      </c>
      <c r="W123" s="16">
        <f t="shared" si="97"/>
        <v>51</v>
      </c>
      <c r="X123" s="16">
        <f t="shared" si="98"/>
        <v>52</v>
      </c>
      <c r="Y123" s="16">
        <f t="shared" si="99"/>
        <v>52</v>
      </c>
      <c r="Z123" s="16">
        <f t="shared" si="100"/>
        <v>51</v>
      </c>
      <c r="AA123" s="16">
        <f t="shared" si="101"/>
        <v>18</v>
      </c>
      <c r="AB123" s="16">
        <f t="shared" si="102"/>
        <v>18</v>
      </c>
      <c r="AC123" s="16">
        <f t="shared" si="103"/>
        <v>51</v>
      </c>
      <c r="AD123" s="16">
        <f t="shared" si="104"/>
        <v>52</v>
      </c>
      <c r="AE123" s="16">
        <f t="shared" si="105"/>
        <v>52</v>
      </c>
    </row>
    <row r="124" spans="1:31" x14ac:dyDescent="0.3">
      <c r="A124" s="14">
        <v>8</v>
      </c>
      <c r="C124" s="16">
        <f t="shared" si="80"/>
        <v>0</v>
      </c>
      <c r="D124" s="16">
        <f t="shared" si="81"/>
        <v>-62961</v>
      </c>
      <c r="E124" s="16">
        <f t="shared" si="82"/>
        <v>-1038774</v>
      </c>
      <c r="F124" s="16">
        <f t="shared" si="83"/>
        <v>1053055</v>
      </c>
      <c r="G124" s="16">
        <f t="shared" si="84"/>
        <v>673907</v>
      </c>
      <c r="H124" s="16">
        <f t="shared" si="85"/>
        <v>-17339</v>
      </c>
      <c r="I124" s="16">
        <f t="shared" si="86"/>
        <v>-16251</v>
      </c>
      <c r="J124" s="16">
        <f t="shared" si="87"/>
        <v>577630</v>
      </c>
      <c r="K124" s="16">
        <f t="shared" si="88"/>
        <v>1145436</v>
      </c>
      <c r="L124" s="16">
        <f t="shared" si="89"/>
        <v>-697297</v>
      </c>
      <c r="M124" s="16">
        <f t="shared" si="90"/>
        <v>-48042</v>
      </c>
      <c r="N124" s="16">
        <f t="shared" si="91"/>
        <v>0</v>
      </c>
      <c r="O124" s="16">
        <f t="shared" si="92"/>
        <v>0</v>
      </c>
      <c r="Q124" s="14">
        <v>8</v>
      </c>
      <c r="S124" s="16">
        <f t="shared" si="93"/>
        <v>52</v>
      </c>
      <c r="T124" s="16">
        <f t="shared" si="94"/>
        <v>51</v>
      </c>
      <c r="U124" s="16">
        <f t="shared" si="95"/>
        <v>24</v>
      </c>
      <c r="V124" s="16">
        <f t="shared" si="96"/>
        <v>81</v>
      </c>
      <c r="W124" s="16">
        <f t="shared" si="97"/>
        <v>71</v>
      </c>
      <c r="X124" s="16">
        <f t="shared" si="98"/>
        <v>52</v>
      </c>
      <c r="Y124" s="16">
        <f t="shared" si="99"/>
        <v>52</v>
      </c>
      <c r="Z124" s="16">
        <f t="shared" si="100"/>
        <v>68</v>
      </c>
      <c r="AA124" s="16">
        <f t="shared" si="101"/>
        <v>84</v>
      </c>
      <c r="AB124" s="16">
        <f t="shared" si="102"/>
        <v>34</v>
      </c>
      <c r="AC124" s="16">
        <f t="shared" si="103"/>
        <v>51</v>
      </c>
      <c r="AD124" s="16">
        <f t="shared" si="104"/>
        <v>52</v>
      </c>
      <c r="AE124" s="16">
        <f t="shared" si="105"/>
        <v>52</v>
      </c>
    </row>
    <row r="125" spans="1:31" x14ac:dyDescent="0.3">
      <c r="A125" s="14">
        <v>9</v>
      </c>
      <c r="C125" s="16">
        <f t="shared" si="80"/>
        <v>0</v>
      </c>
      <c r="D125" s="16">
        <f t="shared" si="81"/>
        <v>-30674</v>
      </c>
      <c r="E125" s="16">
        <f t="shared" si="82"/>
        <v>1130064</v>
      </c>
      <c r="F125" s="16">
        <f t="shared" si="83"/>
        <v>4889763</v>
      </c>
      <c r="G125" s="16">
        <f t="shared" si="84"/>
        <v>2274200</v>
      </c>
      <c r="H125" s="16">
        <f t="shared" si="85"/>
        <v>-447561</v>
      </c>
      <c r="I125" s="16">
        <f t="shared" si="86"/>
        <v>-428239</v>
      </c>
      <c r="J125" s="16">
        <f t="shared" si="87"/>
        <v>1874840</v>
      </c>
      <c r="K125" s="16">
        <f t="shared" si="88"/>
        <v>4231260</v>
      </c>
      <c r="L125" s="16">
        <f t="shared" si="89"/>
        <v>888259</v>
      </c>
      <c r="M125" s="16">
        <f t="shared" si="90"/>
        <v>-29601</v>
      </c>
      <c r="N125" s="16">
        <f t="shared" si="91"/>
        <v>0</v>
      </c>
      <c r="O125" s="16">
        <f t="shared" si="92"/>
        <v>0</v>
      </c>
      <c r="Q125" s="14">
        <v>9</v>
      </c>
      <c r="S125" s="16">
        <f t="shared" si="93"/>
        <v>52</v>
      </c>
      <c r="T125" s="16">
        <f t="shared" si="94"/>
        <v>52</v>
      </c>
      <c r="U125" s="16">
        <f t="shared" si="95"/>
        <v>83</v>
      </c>
      <c r="V125" s="16">
        <f t="shared" si="96"/>
        <v>185</v>
      </c>
      <c r="W125" s="16">
        <f t="shared" si="97"/>
        <v>114</v>
      </c>
      <c r="X125" s="16">
        <f t="shared" si="98"/>
        <v>40</v>
      </c>
      <c r="Y125" s="16">
        <f t="shared" si="99"/>
        <v>41</v>
      </c>
      <c r="Z125" s="16">
        <f t="shared" si="100"/>
        <v>103</v>
      </c>
      <c r="AA125" s="16">
        <f t="shared" si="101"/>
        <v>167</v>
      </c>
      <c r="AB125" s="16">
        <f t="shared" si="102"/>
        <v>77</v>
      </c>
      <c r="AC125" s="16">
        <f t="shared" si="103"/>
        <v>52</v>
      </c>
      <c r="AD125" s="16">
        <f t="shared" si="104"/>
        <v>52</v>
      </c>
      <c r="AE125" s="16">
        <f t="shared" si="105"/>
        <v>52</v>
      </c>
    </row>
    <row r="126" spans="1:31" x14ac:dyDescent="0.3">
      <c r="A126" s="14">
        <v>10</v>
      </c>
      <c r="C126" s="16">
        <f t="shared" si="80"/>
        <v>-40</v>
      </c>
      <c r="D126" s="16">
        <f t="shared" si="81"/>
        <v>16276</v>
      </c>
      <c r="E126" s="16">
        <f t="shared" si="82"/>
        <v>871298</v>
      </c>
      <c r="F126" s="16">
        <f t="shared" si="83"/>
        <v>1561016</v>
      </c>
      <c r="G126" s="16">
        <f t="shared" si="84"/>
        <v>281000</v>
      </c>
      <c r="H126" s="16">
        <f t="shared" si="85"/>
        <v>-439303</v>
      </c>
      <c r="I126" s="16">
        <f t="shared" si="86"/>
        <v>-444889</v>
      </c>
      <c r="J126" s="16">
        <f t="shared" si="87"/>
        <v>174865</v>
      </c>
      <c r="K126" s="16">
        <f t="shared" si="88"/>
        <v>1130429</v>
      </c>
      <c r="L126" s="16">
        <f t="shared" si="89"/>
        <v>350144</v>
      </c>
      <c r="M126" s="16">
        <f t="shared" si="90"/>
        <v>-1919</v>
      </c>
      <c r="N126" s="16">
        <f t="shared" si="91"/>
        <v>0</v>
      </c>
      <c r="O126" s="16">
        <f t="shared" si="92"/>
        <v>0</v>
      </c>
      <c r="Q126" s="14">
        <v>10</v>
      </c>
      <c r="S126" s="16">
        <f t="shared" si="93"/>
        <v>52</v>
      </c>
      <c r="T126" s="16">
        <f t="shared" si="94"/>
        <v>53</v>
      </c>
      <c r="U126" s="16">
        <f t="shared" si="95"/>
        <v>76</v>
      </c>
      <c r="V126" s="16">
        <f t="shared" si="96"/>
        <v>95</v>
      </c>
      <c r="W126" s="16">
        <f t="shared" si="97"/>
        <v>60</v>
      </c>
      <c r="X126" s="16">
        <f t="shared" si="98"/>
        <v>41</v>
      </c>
      <c r="Y126" s="16">
        <f t="shared" si="99"/>
        <v>40</v>
      </c>
      <c r="Z126" s="16">
        <f t="shared" si="100"/>
        <v>57</v>
      </c>
      <c r="AA126" s="16">
        <f t="shared" si="101"/>
        <v>83</v>
      </c>
      <c r="AB126" s="16">
        <f t="shared" si="102"/>
        <v>62</v>
      </c>
      <c r="AC126" s="16">
        <f t="shared" si="103"/>
        <v>52</v>
      </c>
      <c r="AD126" s="16">
        <f t="shared" si="104"/>
        <v>52</v>
      </c>
      <c r="AE126" s="16">
        <f t="shared" si="105"/>
        <v>52</v>
      </c>
    </row>
    <row r="127" spans="1:31" x14ac:dyDescent="0.3">
      <c r="A127" s="14">
        <v>11</v>
      </c>
      <c r="C127" s="16">
        <f t="shared" si="80"/>
        <v>2350</v>
      </c>
      <c r="D127" s="16">
        <f t="shared" si="81"/>
        <v>-20152</v>
      </c>
      <c r="E127" s="16">
        <f t="shared" si="82"/>
        <v>49149</v>
      </c>
      <c r="F127" s="16">
        <f t="shared" si="83"/>
        <v>58865</v>
      </c>
      <c r="G127" s="16">
        <f t="shared" si="84"/>
        <v>-7724</v>
      </c>
      <c r="H127" s="16">
        <f t="shared" si="85"/>
        <v>-17371</v>
      </c>
      <c r="I127" s="16">
        <f t="shared" si="86"/>
        <v>-17956</v>
      </c>
      <c r="J127" s="16">
        <f t="shared" si="87"/>
        <v>13014</v>
      </c>
      <c r="K127" s="16">
        <f t="shared" si="88"/>
        <v>87810</v>
      </c>
      <c r="L127" s="16">
        <f t="shared" si="89"/>
        <v>18723</v>
      </c>
      <c r="M127" s="16">
        <f t="shared" si="90"/>
        <v>-113</v>
      </c>
      <c r="N127" s="16">
        <f t="shared" si="91"/>
        <v>0</v>
      </c>
      <c r="O127" s="16">
        <f t="shared" si="92"/>
        <v>0</v>
      </c>
      <c r="Q127" s="14">
        <v>11</v>
      </c>
      <c r="S127" s="16">
        <f t="shared" si="93"/>
        <v>53</v>
      </c>
      <c r="T127" s="16">
        <f t="shared" si="94"/>
        <v>52</v>
      </c>
      <c r="U127" s="16">
        <f t="shared" si="95"/>
        <v>54</v>
      </c>
      <c r="V127" s="16">
        <f t="shared" si="96"/>
        <v>54</v>
      </c>
      <c r="W127" s="16">
        <f t="shared" si="97"/>
        <v>52</v>
      </c>
      <c r="X127" s="16">
        <f t="shared" si="98"/>
        <v>52</v>
      </c>
      <c r="Y127" s="16">
        <f t="shared" si="99"/>
        <v>52</v>
      </c>
      <c r="Z127" s="16">
        <f t="shared" si="100"/>
        <v>53</v>
      </c>
      <c r="AA127" s="16">
        <f t="shared" si="101"/>
        <v>55</v>
      </c>
      <c r="AB127" s="16">
        <f t="shared" si="102"/>
        <v>53</v>
      </c>
      <c r="AC127" s="16">
        <f t="shared" si="103"/>
        <v>52</v>
      </c>
      <c r="AD127" s="16">
        <f t="shared" si="104"/>
        <v>52</v>
      </c>
      <c r="AE127" s="16">
        <f t="shared" si="105"/>
        <v>52</v>
      </c>
    </row>
    <row r="128" spans="1:31" x14ac:dyDescent="0.3">
      <c r="A128" s="14">
        <v>12</v>
      </c>
      <c r="C128" s="16">
        <f t="shared" si="80"/>
        <v>9794</v>
      </c>
      <c r="D128" s="16">
        <f t="shared" si="81"/>
        <v>-4535</v>
      </c>
      <c r="E128" s="16">
        <f t="shared" si="82"/>
        <v>-3216</v>
      </c>
      <c r="F128" s="16">
        <f t="shared" si="83"/>
        <v>3</v>
      </c>
      <c r="G128" s="16">
        <f t="shared" si="84"/>
        <v>0</v>
      </c>
      <c r="H128" s="16">
        <f t="shared" si="85"/>
        <v>0</v>
      </c>
      <c r="I128" s="16">
        <f t="shared" si="86"/>
        <v>0</v>
      </c>
      <c r="J128" s="16">
        <f t="shared" si="87"/>
        <v>-81</v>
      </c>
      <c r="K128" s="16">
        <f t="shared" si="88"/>
        <v>-1702</v>
      </c>
      <c r="L128" s="16">
        <f t="shared" si="89"/>
        <v>-1393</v>
      </c>
      <c r="M128" s="16">
        <f t="shared" si="90"/>
        <v>-61</v>
      </c>
      <c r="N128" s="16">
        <f t="shared" si="91"/>
        <v>0</v>
      </c>
      <c r="O128" s="16">
        <f t="shared" si="92"/>
        <v>0</v>
      </c>
      <c r="Q128" s="14">
        <v>12</v>
      </c>
      <c r="S128" s="16">
        <f t="shared" si="93"/>
        <v>53</v>
      </c>
      <c r="T128" s="16">
        <f t="shared" si="94"/>
        <v>52</v>
      </c>
      <c r="U128" s="16">
        <f t="shared" si="95"/>
        <v>52</v>
      </c>
      <c r="V128" s="16">
        <f t="shared" si="96"/>
        <v>52</v>
      </c>
      <c r="W128" s="16">
        <f t="shared" si="97"/>
        <v>52</v>
      </c>
      <c r="X128" s="16">
        <f t="shared" si="98"/>
        <v>52</v>
      </c>
      <c r="Y128" s="16">
        <f t="shared" si="99"/>
        <v>52</v>
      </c>
      <c r="Z128" s="16">
        <f t="shared" si="100"/>
        <v>52</v>
      </c>
      <c r="AA128" s="16">
        <f t="shared" si="101"/>
        <v>52</v>
      </c>
      <c r="AB128" s="16">
        <f t="shared" si="102"/>
        <v>52</v>
      </c>
      <c r="AC128" s="16">
        <f t="shared" si="103"/>
        <v>52</v>
      </c>
      <c r="AD128" s="16">
        <f t="shared" si="104"/>
        <v>52</v>
      </c>
      <c r="AE128" s="16">
        <f t="shared" si="105"/>
        <v>52</v>
      </c>
    </row>
    <row r="129" spans="1:31" x14ac:dyDescent="0.3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</row>
    <row r="130" spans="1:31" x14ac:dyDescent="0.3">
      <c r="B130" s="12" t="s">
        <v>20</v>
      </c>
      <c r="C130" s="12" t="s">
        <v>17</v>
      </c>
      <c r="D130" s="12" t="s">
        <v>18</v>
      </c>
      <c r="E130" s="12" t="s">
        <v>2</v>
      </c>
      <c r="F130" s="12" t="s">
        <v>21</v>
      </c>
      <c r="G130" s="12" t="s">
        <v>17</v>
      </c>
      <c r="H130" s="12" t="s">
        <v>18</v>
      </c>
      <c r="I130" s="12" t="s">
        <v>2</v>
      </c>
      <c r="K130" s="12" t="s">
        <v>19</v>
      </c>
      <c r="L130" s="12" t="s">
        <v>22</v>
      </c>
      <c r="R130" s="12" t="s">
        <v>11</v>
      </c>
      <c r="S130" s="12">
        <f>AVERAGE(S116:AE128)</f>
        <v>58.437869822485204</v>
      </c>
      <c r="T130" s="12" t="s">
        <v>12</v>
      </c>
      <c r="U130" s="12">
        <f>_xlfn.STDEV.P(S116:AE128)</f>
        <v>29.404704936207413</v>
      </c>
      <c r="V130" s="12" t="s">
        <v>44</v>
      </c>
      <c r="W130" s="12">
        <f>S130+U130*0.7</f>
        <v>79.021163277830397</v>
      </c>
    </row>
    <row r="131" spans="1:31" x14ac:dyDescent="0.3">
      <c r="C131" s="18">
        <f>MIN(C116:O128)</f>
        <v>-1932748</v>
      </c>
      <c r="D131" s="18">
        <f>MAX(C116:O128)</f>
        <v>7458240</v>
      </c>
      <c r="E131" s="18">
        <f>D131-C131</f>
        <v>9390988</v>
      </c>
      <c r="F131" s="18"/>
      <c r="G131" s="18">
        <v>0</v>
      </c>
      <c r="H131" s="18">
        <v>255</v>
      </c>
      <c r="I131" s="18">
        <f>H131-G131</f>
        <v>255</v>
      </c>
      <c r="J131" s="18"/>
      <c r="K131" s="18">
        <f>I131/E131</f>
        <v>2.7153692454936583E-5</v>
      </c>
      <c r="L131" s="18">
        <f>-C131+G131</f>
        <v>1932748</v>
      </c>
    </row>
    <row r="132" spans="1:31" x14ac:dyDescent="0.3">
      <c r="D132" s="12" t="s">
        <v>24</v>
      </c>
      <c r="E132" s="17" t="s">
        <v>27</v>
      </c>
      <c r="T132" s="12" t="s">
        <v>24</v>
      </c>
      <c r="U132" s="17" t="s">
        <v>31</v>
      </c>
    </row>
    <row r="133" spans="1:31" x14ac:dyDescent="0.3">
      <c r="C133" s="14">
        <v>0</v>
      </c>
      <c r="D133" s="14">
        <v>1</v>
      </c>
      <c r="E133" s="14">
        <v>2</v>
      </c>
      <c r="F133" s="14">
        <v>3</v>
      </c>
      <c r="G133" s="14">
        <v>4</v>
      </c>
      <c r="H133" s="14">
        <v>5</v>
      </c>
      <c r="I133" s="14">
        <v>6</v>
      </c>
      <c r="J133" s="14">
        <v>7</v>
      </c>
      <c r="K133" s="14">
        <v>8</v>
      </c>
      <c r="L133" s="14">
        <v>9</v>
      </c>
      <c r="M133" s="14">
        <v>10</v>
      </c>
      <c r="N133" s="14">
        <v>11</v>
      </c>
      <c r="O133" s="14">
        <v>12</v>
      </c>
      <c r="S133" s="14">
        <v>0</v>
      </c>
      <c r="T133" s="14">
        <v>1</v>
      </c>
      <c r="U133" s="14">
        <v>2</v>
      </c>
      <c r="V133" s="14">
        <v>3</v>
      </c>
      <c r="W133" s="14">
        <v>4</v>
      </c>
      <c r="X133" s="14">
        <v>5</v>
      </c>
      <c r="Y133" s="14">
        <v>6</v>
      </c>
      <c r="Z133" s="14">
        <v>7</v>
      </c>
      <c r="AA133" s="14">
        <v>8</v>
      </c>
      <c r="AB133" s="14">
        <v>9</v>
      </c>
      <c r="AC133" s="14">
        <v>10</v>
      </c>
      <c r="AD133" s="14">
        <v>11</v>
      </c>
      <c r="AE133" s="14">
        <v>12</v>
      </c>
    </row>
    <row r="135" spans="1:31" x14ac:dyDescent="0.3">
      <c r="A135" s="14">
        <v>0</v>
      </c>
      <c r="C135" s="16">
        <f t="shared" ref="C135:C147" si="106">IF(S116&gt;$W$130,S116,0)</f>
        <v>0</v>
      </c>
      <c r="D135" s="16">
        <f t="shared" ref="D135:D147" si="107">IF(T116&gt;$W$130,T116,0)</f>
        <v>0</v>
      </c>
      <c r="E135" s="16">
        <f t="shared" ref="E135:E147" si="108">IF(U116&gt;$W$130,U116,0)</f>
        <v>0</v>
      </c>
      <c r="F135" s="16">
        <f t="shared" ref="F135:F147" si="109">IF(V116&gt;$W$130,V116,0)</f>
        <v>0</v>
      </c>
      <c r="G135" s="16">
        <f t="shared" ref="G135:G147" si="110">IF(W116&gt;$W$130,W116,0)</f>
        <v>0</v>
      </c>
      <c r="H135" s="16">
        <f t="shared" ref="H135:H147" si="111">IF(X116&gt;$W$130,X116,0)</f>
        <v>0</v>
      </c>
      <c r="I135" s="16">
        <f t="shared" ref="I135:I147" si="112">IF(Y116&gt;$W$130,Y116,0)</f>
        <v>0</v>
      </c>
      <c r="J135" s="16">
        <f t="shared" ref="J135:J147" si="113">IF(Z116&gt;$W$130,Z116,0)</f>
        <v>0</v>
      </c>
      <c r="K135" s="16">
        <f t="shared" ref="K135:K147" si="114">IF(AA116&gt;$W$130,AA116,0)</f>
        <v>0</v>
      </c>
      <c r="L135" s="16">
        <f t="shared" ref="L135:L147" si="115">IF(AB116&gt;$W$130,AB116,0)</f>
        <v>0</v>
      </c>
      <c r="M135" s="16">
        <f t="shared" ref="M135:M147" si="116">IF(AC116&gt;$W$130,AC116,0)</f>
        <v>0</v>
      </c>
      <c r="N135" s="16">
        <f t="shared" ref="N135:N147" si="117">IF(AD116&gt;$W$130,AD116,0)</f>
        <v>0</v>
      </c>
      <c r="O135" s="16">
        <f t="shared" ref="O135:O147" si="118">IF(AE116&gt;$W$130,AE116,0)</f>
        <v>0</v>
      </c>
      <c r="Q135" s="14">
        <v>0</v>
      </c>
      <c r="S135" s="16">
        <f t="shared" ref="S135:S147" si="119">IF(C135=MAX(B134:D136),C135,0)</f>
        <v>0</v>
      </c>
      <c r="T135" s="16">
        <f t="shared" ref="T135:T147" si="120">IF(D135=MAX(C134:E136),D135,0)</f>
        <v>0</v>
      </c>
      <c r="U135" s="16">
        <f t="shared" ref="U135:U147" si="121">IF(E135=MAX(D134:F136),E135,0)</f>
        <v>0</v>
      </c>
      <c r="V135" s="16">
        <f t="shared" ref="V135:V147" si="122">IF(F135=MAX(E134:G136),F135,0)</f>
        <v>0</v>
      </c>
      <c r="W135" s="16">
        <f t="shared" ref="W135:W147" si="123">IF(G135=MAX(F134:H136),G135,0)</f>
        <v>0</v>
      </c>
      <c r="X135" s="16">
        <f t="shared" ref="X135:X147" si="124">IF(H135=MAX(G134:I136),H135,0)</f>
        <v>0</v>
      </c>
      <c r="Y135" s="16">
        <f t="shared" ref="Y135:Y147" si="125">IF(I135=MAX(H134:J136),I135,0)</f>
        <v>0</v>
      </c>
      <c r="Z135" s="16">
        <f t="shared" ref="Z135:Z147" si="126">IF(J135=MAX(I134:K136),J135,0)</f>
        <v>0</v>
      </c>
      <c r="AA135" s="16">
        <f t="shared" ref="AA135:AA147" si="127">IF(K135=MAX(J134:L136),K135,0)</f>
        <v>0</v>
      </c>
      <c r="AB135" s="16">
        <f t="shared" ref="AB135:AB147" si="128">IF(L135=MAX(K134:M136),L135,0)</f>
        <v>0</v>
      </c>
      <c r="AC135" s="16">
        <f t="shared" ref="AC135:AC147" si="129">IF(M135=MAX(L134:N136),M135,0)</f>
        <v>0</v>
      </c>
      <c r="AD135" s="16">
        <f t="shared" ref="AD135:AD147" si="130">IF(N135=MAX(M134:O136),N135,0)</f>
        <v>0</v>
      </c>
      <c r="AE135" s="16">
        <f t="shared" ref="AE135:AE147" si="131">IF(O135=MAX(N134:P136),O135,0)</f>
        <v>0</v>
      </c>
    </row>
    <row r="136" spans="1:31" x14ac:dyDescent="0.3">
      <c r="A136" s="14">
        <v>1</v>
      </c>
      <c r="C136" s="16">
        <f t="shared" si="106"/>
        <v>0</v>
      </c>
      <c r="D136" s="16">
        <f t="shared" si="107"/>
        <v>0</v>
      </c>
      <c r="E136" s="16">
        <f t="shared" si="108"/>
        <v>0</v>
      </c>
      <c r="F136" s="16">
        <f t="shared" si="109"/>
        <v>0</v>
      </c>
      <c r="G136" s="16">
        <f t="shared" si="110"/>
        <v>0</v>
      </c>
      <c r="H136" s="16">
        <f t="shared" si="111"/>
        <v>0</v>
      </c>
      <c r="I136" s="16">
        <f t="shared" si="112"/>
        <v>0</v>
      </c>
      <c r="J136" s="16">
        <f t="shared" si="113"/>
        <v>0</v>
      </c>
      <c r="K136" s="16">
        <f t="shared" si="114"/>
        <v>0</v>
      </c>
      <c r="L136" s="16">
        <f t="shared" si="115"/>
        <v>0</v>
      </c>
      <c r="M136" s="16">
        <f t="shared" si="116"/>
        <v>0</v>
      </c>
      <c r="N136" s="16">
        <f t="shared" si="117"/>
        <v>0</v>
      </c>
      <c r="O136" s="16">
        <f t="shared" si="118"/>
        <v>0</v>
      </c>
      <c r="Q136" s="14">
        <v>1</v>
      </c>
      <c r="S136" s="16">
        <f t="shared" si="119"/>
        <v>0</v>
      </c>
      <c r="T136" s="16">
        <f t="shared" si="120"/>
        <v>0</v>
      </c>
      <c r="U136" s="16">
        <f t="shared" si="121"/>
        <v>0</v>
      </c>
      <c r="V136" s="16">
        <f t="shared" si="122"/>
        <v>0</v>
      </c>
      <c r="W136" s="16">
        <f t="shared" si="123"/>
        <v>0</v>
      </c>
      <c r="X136" s="16">
        <f t="shared" si="124"/>
        <v>0</v>
      </c>
      <c r="Y136" s="16">
        <f t="shared" si="125"/>
        <v>0</v>
      </c>
      <c r="Z136" s="16">
        <f t="shared" si="126"/>
        <v>0</v>
      </c>
      <c r="AA136" s="16">
        <f t="shared" si="127"/>
        <v>0</v>
      </c>
      <c r="AB136" s="16">
        <f t="shared" si="128"/>
        <v>0</v>
      </c>
      <c r="AC136" s="16">
        <f t="shared" si="129"/>
        <v>0</v>
      </c>
      <c r="AD136" s="16">
        <f t="shared" si="130"/>
        <v>0</v>
      </c>
      <c r="AE136" s="16">
        <f t="shared" si="131"/>
        <v>0</v>
      </c>
    </row>
    <row r="137" spans="1:31" x14ac:dyDescent="0.3">
      <c r="A137" s="14">
        <v>2</v>
      </c>
      <c r="C137" s="16">
        <f t="shared" si="106"/>
        <v>0</v>
      </c>
      <c r="D137" s="16">
        <f t="shared" si="107"/>
        <v>0</v>
      </c>
      <c r="E137" s="16">
        <f t="shared" si="108"/>
        <v>0</v>
      </c>
      <c r="F137" s="16">
        <f t="shared" si="109"/>
        <v>0</v>
      </c>
      <c r="G137" s="16">
        <f t="shared" si="110"/>
        <v>0</v>
      </c>
      <c r="H137" s="16">
        <f t="shared" si="111"/>
        <v>156</v>
      </c>
      <c r="I137" s="16">
        <f t="shared" si="112"/>
        <v>0</v>
      </c>
      <c r="J137" s="16">
        <f t="shared" si="113"/>
        <v>0</v>
      </c>
      <c r="K137" s="16">
        <f t="shared" si="114"/>
        <v>0</v>
      </c>
      <c r="L137" s="16">
        <f t="shared" si="115"/>
        <v>0</v>
      </c>
      <c r="M137" s="16">
        <f t="shared" si="116"/>
        <v>0</v>
      </c>
      <c r="N137" s="16">
        <f t="shared" si="117"/>
        <v>0</v>
      </c>
      <c r="O137" s="16">
        <f t="shared" si="118"/>
        <v>0</v>
      </c>
      <c r="Q137" s="14">
        <v>2</v>
      </c>
      <c r="S137" s="16">
        <f t="shared" si="119"/>
        <v>0</v>
      </c>
      <c r="T137" s="16">
        <f t="shared" si="120"/>
        <v>0</v>
      </c>
      <c r="U137" s="16">
        <f t="shared" si="121"/>
        <v>0</v>
      </c>
      <c r="V137" s="16">
        <f t="shared" si="122"/>
        <v>0</v>
      </c>
      <c r="W137" s="16">
        <f t="shared" si="123"/>
        <v>0</v>
      </c>
      <c r="X137" s="16">
        <f t="shared" si="124"/>
        <v>156</v>
      </c>
      <c r="Y137" s="16">
        <f t="shared" si="125"/>
        <v>0</v>
      </c>
      <c r="Z137" s="16">
        <f t="shared" si="126"/>
        <v>0</v>
      </c>
      <c r="AA137" s="16">
        <f t="shared" si="127"/>
        <v>0</v>
      </c>
      <c r="AB137" s="16">
        <f t="shared" si="128"/>
        <v>0</v>
      </c>
      <c r="AC137" s="16">
        <f t="shared" si="129"/>
        <v>0</v>
      </c>
      <c r="AD137" s="16">
        <f t="shared" si="130"/>
        <v>0</v>
      </c>
      <c r="AE137" s="16">
        <f t="shared" si="131"/>
        <v>0</v>
      </c>
    </row>
    <row r="138" spans="1:31" x14ac:dyDescent="0.3">
      <c r="A138" s="14">
        <v>3</v>
      </c>
      <c r="C138" s="16">
        <f t="shared" si="106"/>
        <v>0</v>
      </c>
      <c r="D138" s="16">
        <f t="shared" si="107"/>
        <v>0</v>
      </c>
      <c r="E138" s="16">
        <f t="shared" si="108"/>
        <v>0</v>
      </c>
      <c r="F138" s="16">
        <f t="shared" si="109"/>
        <v>0</v>
      </c>
      <c r="G138" s="16">
        <f t="shared" si="110"/>
        <v>0</v>
      </c>
      <c r="H138" s="16">
        <f t="shared" si="111"/>
        <v>110</v>
      </c>
      <c r="I138" s="16">
        <f t="shared" si="112"/>
        <v>0</v>
      </c>
      <c r="J138" s="16">
        <f t="shared" si="113"/>
        <v>88</v>
      </c>
      <c r="K138" s="16">
        <f t="shared" si="114"/>
        <v>133</v>
      </c>
      <c r="L138" s="16">
        <f t="shared" si="115"/>
        <v>0</v>
      </c>
      <c r="M138" s="16">
        <f t="shared" si="116"/>
        <v>0</v>
      </c>
      <c r="N138" s="16">
        <f t="shared" si="117"/>
        <v>0</v>
      </c>
      <c r="O138" s="16">
        <f t="shared" si="118"/>
        <v>0</v>
      </c>
      <c r="Q138" s="14">
        <v>3</v>
      </c>
      <c r="S138" s="16">
        <f t="shared" si="119"/>
        <v>0</v>
      </c>
      <c r="T138" s="16">
        <f t="shared" si="120"/>
        <v>0</v>
      </c>
      <c r="U138" s="16">
        <f t="shared" si="121"/>
        <v>0</v>
      </c>
      <c r="V138" s="16">
        <f t="shared" si="122"/>
        <v>0</v>
      </c>
      <c r="W138" s="16">
        <f t="shared" si="123"/>
        <v>0</v>
      </c>
      <c r="X138" s="16">
        <f t="shared" si="124"/>
        <v>0</v>
      </c>
      <c r="Y138" s="16">
        <f t="shared" si="125"/>
        <v>0</v>
      </c>
      <c r="Z138" s="16">
        <f t="shared" si="126"/>
        <v>0</v>
      </c>
      <c r="AA138" s="16">
        <f t="shared" si="127"/>
        <v>0</v>
      </c>
      <c r="AB138" s="16">
        <f t="shared" si="128"/>
        <v>0</v>
      </c>
      <c r="AC138" s="16">
        <f t="shared" si="129"/>
        <v>0</v>
      </c>
      <c r="AD138" s="16">
        <f t="shared" si="130"/>
        <v>0</v>
      </c>
      <c r="AE138" s="16">
        <f t="shared" si="131"/>
        <v>0</v>
      </c>
    </row>
    <row r="139" spans="1:31" x14ac:dyDescent="0.3">
      <c r="A139" s="14">
        <v>4</v>
      </c>
      <c r="C139" s="16">
        <f t="shared" si="106"/>
        <v>0</v>
      </c>
      <c r="D139" s="16">
        <f t="shared" si="107"/>
        <v>0</v>
      </c>
      <c r="E139" s="16">
        <f t="shared" si="108"/>
        <v>107</v>
      </c>
      <c r="F139" s="16">
        <f t="shared" si="109"/>
        <v>127</v>
      </c>
      <c r="G139" s="16">
        <f t="shared" si="110"/>
        <v>0</v>
      </c>
      <c r="H139" s="16">
        <f t="shared" si="111"/>
        <v>0</v>
      </c>
      <c r="I139" s="16">
        <f t="shared" si="112"/>
        <v>0</v>
      </c>
      <c r="J139" s="16">
        <f t="shared" si="113"/>
        <v>138</v>
      </c>
      <c r="K139" s="16">
        <f t="shared" si="114"/>
        <v>255</v>
      </c>
      <c r="L139" s="16">
        <f t="shared" si="115"/>
        <v>109</v>
      </c>
      <c r="M139" s="16">
        <f t="shared" si="116"/>
        <v>0</v>
      </c>
      <c r="N139" s="16">
        <f t="shared" si="117"/>
        <v>0</v>
      </c>
      <c r="O139" s="16">
        <f t="shared" si="118"/>
        <v>0</v>
      </c>
      <c r="Q139" s="14">
        <v>4</v>
      </c>
      <c r="S139" s="16">
        <f t="shared" si="119"/>
        <v>0</v>
      </c>
      <c r="T139" s="16">
        <f t="shared" si="120"/>
        <v>0</v>
      </c>
      <c r="U139" s="16">
        <f t="shared" si="121"/>
        <v>0</v>
      </c>
      <c r="V139" s="16">
        <f t="shared" si="122"/>
        <v>127</v>
      </c>
      <c r="W139" s="16">
        <f t="shared" si="123"/>
        <v>0</v>
      </c>
      <c r="X139" s="16">
        <f t="shared" si="124"/>
        <v>0</v>
      </c>
      <c r="Y139" s="16">
        <f t="shared" si="125"/>
        <v>0</v>
      </c>
      <c r="Z139" s="16">
        <f t="shared" si="126"/>
        <v>0</v>
      </c>
      <c r="AA139" s="16">
        <f t="shared" si="127"/>
        <v>255</v>
      </c>
      <c r="AB139" s="16">
        <f t="shared" si="128"/>
        <v>0</v>
      </c>
      <c r="AC139" s="16">
        <f t="shared" si="129"/>
        <v>0</v>
      </c>
      <c r="AD139" s="16">
        <f t="shared" si="130"/>
        <v>0</v>
      </c>
      <c r="AE139" s="16">
        <f t="shared" si="131"/>
        <v>0</v>
      </c>
    </row>
    <row r="140" spans="1:31" x14ac:dyDescent="0.3">
      <c r="A140" s="14">
        <v>5</v>
      </c>
      <c r="C140" s="16">
        <f t="shared" si="106"/>
        <v>0</v>
      </c>
      <c r="D140" s="16">
        <f t="shared" si="107"/>
        <v>0</v>
      </c>
      <c r="E140" s="16">
        <f t="shared" si="108"/>
        <v>0</v>
      </c>
      <c r="F140" s="16">
        <f t="shared" si="109"/>
        <v>80</v>
      </c>
      <c r="G140" s="16">
        <f t="shared" si="110"/>
        <v>0</v>
      </c>
      <c r="H140" s="16">
        <f t="shared" si="111"/>
        <v>0</v>
      </c>
      <c r="I140" s="16">
        <f t="shared" si="112"/>
        <v>0</v>
      </c>
      <c r="J140" s="16">
        <f t="shared" si="113"/>
        <v>0</v>
      </c>
      <c r="K140" s="16">
        <f t="shared" si="114"/>
        <v>121</v>
      </c>
      <c r="L140" s="16">
        <f t="shared" si="115"/>
        <v>0</v>
      </c>
      <c r="M140" s="16">
        <f t="shared" si="116"/>
        <v>0</v>
      </c>
      <c r="N140" s="16">
        <f t="shared" si="117"/>
        <v>0</v>
      </c>
      <c r="O140" s="16">
        <f t="shared" si="118"/>
        <v>0</v>
      </c>
      <c r="Q140" s="14">
        <v>5</v>
      </c>
      <c r="S140" s="16">
        <f t="shared" si="119"/>
        <v>0</v>
      </c>
      <c r="T140" s="16">
        <f t="shared" si="120"/>
        <v>0</v>
      </c>
      <c r="U140" s="16">
        <f t="shared" si="121"/>
        <v>0</v>
      </c>
      <c r="V140" s="16">
        <f t="shared" si="122"/>
        <v>0</v>
      </c>
      <c r="W140" s="16">
        <f t="shared" si="123"/>
        <v>0</v>
      </c>
      <c r="X140" s="16">
        <f t="shared" si="124"/>
        <v>0</v>
      </c>
      <c r="Y140" s="16">
        <f t="shared" si="125"/>
        <v>0</v>
      </c>
      <c r="Z140" s="16">
        <f t="shared" si="126"/>
        <v>0</v>
      </c>
      <c r="AA140" s="16">
        <f t="shared" si="127"/>
        <v>0</v>
      </c>
      <c r="AB140" s="16">
        <f t="shared" si="128"/>
        <v>0</v>
      </c>
      <c r="AC140" s="16">
        <f t="shared" si="129"/>
        <v>0</v>
      </c>
      <c r="AD140" s="16">
        <f t="shared" si="130"/>
        <v>0</v>
      </c>
      <c r="AE140" s="16">
        <f t="shared" si="131"/>
        <v>0</v>
      </c>
    </row>
    <row r="141" spans="1:31" x14ac:dyDescent="0.3">
      <c r="A141" s="14">
        <v>6</v>
      </c>
      <c r="C141" s="16">
        <f t="shared" si="106"/>
        <v>0</v>
      </c>
      <c r="D141" s="16">
        <f t="shared" si="107"/>
        <v>0</v>
      </c>
      <c r="E141" s="16">
        <f t="shared" si="108"/>
        <v>0</v>
      </c>
      <c r="F141" s="16">
        <f t="shared" si="109"/>
        <v>0</v>
      </c>
      <c r="G141" s="16">
        <f t="shared" si="110"/>
        <v>0</v>
      </c>
      <c r="H141" s="16">
        <f t="shared" si="111"/>
        <v>0</v>
      </c>
      <c r="I141" s="16">
        <f t="shared" si="112"/>
        <v>0</v>
      </c>
      <c r="J141" s="16">
        <f t="shared" si="113"/>
        <v>0</v>
      </c>
      <c r="K141" s="16">
        <f t="shared" si="114"/>
        <v>0</v>
      </c>
      <c r="L141" s="16">
        <f t="shared" si="115"/>
        <v>0</v>
      </c>
      <c r="M141" s="16">
        <f t="shared" si="116"/>
        <v>0</v>
      </c>
      <c r="N141" s="16">
        <f t="shared" si="117"/>
        <v>0</v>
      </c>
      <c r="O141" s="16">
        <f t="shared" si="118"/>
        <v>0</v>
      </c>
      <c r="Q141" s="14">
        <v>6</v>
      </c>
      <c r="S141" s="16">
        <f t="shared" si="119"/>
        <v>0</v>
      </c>
      <c r="T141" s="16">
        <f t="shared" si="120"/>
        <v>0</v>
      </c>
      <c r="U141" s="16">
        <f t="shared" si="121"/>
        <v>0</v>
      </c>
      <c r="V141" s="16">
        <f t="shared" si="122"/>
        <v>0</v>
      </c>
      <c r="W141" s="16">
        <f t="shared" si="123"/>
        <v>0</v>
      </c>
      <c r="X141" s="16">
        <f t="shared" si="124"/>
        <v>0</v>
      </c>
      <c r="Y141" s="16">
        <f t="shared" si="125"/>
        <v>0</v>
      </c>
      <c r="Z141" s="16">
        <f t="shared" si="126"/>
        <v>0</v>
      </c>
      <c r="AA141" s="16">
        <f t="shared" si="127"/>
        <v>0</v>
      </c>
      <c r="AB141" s="16">
        <f t="shared" si="128"/>
        <v>0</v>
      </c>
      <c r="AC141" s="16">
        <f t="shared" si="129"/>
        <v>0</v>
      </c>
      <c r="AD141" s="16">
        <f t="shared" si="130"/>
        <v>0</v>
      </c>
      <c r="AE141" s="16">
        <f t="shared" si="131"/>
        <v>0</v>
      </c>
    </row>
    <row r="142" spans="1:31" x14ac:dyDescent="0.3">
      <c r="A142" s="14">
        <v>7</v>
      </c>
      <c r="C142" s="16">
        <f t="shared" si="106"/>
        <v>0</v>
      </c>
      <c r="D142" s="16">
        <f t="shared" si="107"/>
        <v>0</v>
      </c>
      <c r="E142" s="16">
        <f t="shared" si="108"/>
        <v>0</v>
      </c>
      <c r="F142" s="16">
        <f t="shared" si="109"/>
        <v>0</v>
      </c>
      <c r="G142" s="16">
        <f t="shared" si="110"/>
        <v>0</v>
      </c>
      <c r="H142" s="16">
        <f t="shared" si="111"/>
        <v>0</v>
      </c>
      <c r="I142" s="16">
        <f t="shared" si="112"/>
        <v>0</v>
      </c>
      <c r="J142" s="16">
        <f t="shared" si="113"/>
        <v>0</v>
      </c>
      <c r="K142" s="16">
        <f t="shared" si="114"/>
        <v>0</v>
      </c>
      <c r="L142" s="16">
        <f t="shared" si="115"/>
        <v>0</v>
      </c>
      <c r="M142" s="16">
        <f t="shared" si="116"/>
        <v>0</v>
      </c>
      <c r="N142" s="16">
        <f t="shared" si="117"/>
        <v>0</v>
      </c>
      <c r="O142" s="16">
        <f t="shared" si="118"/>
        <v>0</v>
      </c>
      <c r="Q142" s="14">
        <v>7</v>
      </c>
      <c r="S142" s="16">
        <f t="shared" si="119"/>
        <v>0</v>
      </c>
      <c r="T142" s="16">
        <f t="shared" si="120"/>
        <v>0</v>
      </c>
      <c r="U142" s="16">
        <f t="shared" si="121"/>
        <v>0</v>
      </c>
      <c r="V142" s="16">
        <f t="shared" si="122"/>
        <v>0</v>
      </c>
      <c r="W142" s="16">
        <f t="shared" si="123"/>
        <v>0</v>
      </c>
      <c r="X142" s="16">
        <f t="shared" si="124"/>
        <v>0</v>
      </c>
      <c r="Y142" s="16">
        <f t="shared" si="125"/>
        <v>0</v>
      </c>
      <c r="Z142" s="16">
        <f t="shared" si="126"/>
        <v>0</v>
      </c>
      <c r="AA142" s="16">
        <f t="shared" si="127"/>
        <v>0</v>
      </c>
      <c r="AB142" s="16">
        <f t="shared" si="128"/>
        <v>0</v>
      </c>
      <c r="AC142" s="16">
        <f t="shared" si="129"/>
        <v>0</v>
      </c>
      <c r="AD142" s="16">
        <f t="shared" si="130"/>
        <v>0</v>
      </c>
      <c r="AE142" s="16">
        <f t="shared" si="131"/>
        <v>0</v>
      </c>
    </row>
    <row r="143" spans="1:31" x14ac:dyDescent="0.3">
      <c r="A143" s="14">
        <v>8</v>
      </c>
      <c r="C143" s="16">
        <f t="shared" si="106"/>
        <v>0</v>
      </c>
      <c r="D143" s="16">
        <f t="shared" si="107"/>
        <v>0</v>
      </c>
      <c r="E143" s="16">
        <f t="shared" si="108"/>
        <v>0</v>
      </c>
      <c r="F143" s="16">
        <f t="shared" si="109"/>
        <v>81</v>
      </c>
      <c r="G143" s="16">
        <f t="shared" si="110"/>
        <v>0</v>
      </c>
      <c r="H143" s="16">
        <f t="shared" si="111"/>
        <v>0</v>
      </c>
      <c r="I143" s="16">
        <f t="shared" si="112"/>
        <v>0</v>
      </c>
      <c r="J143" s="16">
        <f t="shared" si="113"/>
        <v>0</v>
      </c>
      <c r="K143" s="16">
        <f t="shared" si="114"/>
        <v>84</v>
      </c>
      <c r="L143" s="16">
        <f t="shared" si="115"/>
        <v>0</v>
      </c>
      <c r="M143" s="16">
        <f t="shared" si="116"/>
        <v>0</v>
      </c>
      <c r="N143" s="16">
        <f t="shared" si="117"/>
        <v>0</v>
      </c>
      <c r="O143" s="16">
        <f t="shared" si="118"/>
        <v>0</v>
      </c>
      <c r="Q143" s="14">
        <v>8</v>
      </c>
      <c r="S143" s="16">
        <f t="shared" si="119"/>
        <v>0</v>
      </c>
      <c r="T143" s="16">
        <f t="shared" si="120"/>
        <v>0</v>
      </c>
      <c r="U143" s="16">
        <f t="shared" si="121"/>
        <v>0</v>
      </c>
      <c r="V143" s="16">
        <f t="shared" si="122"/>
        <v>0</v>
      </c>
      <c r="W143" s="16">
        <f t="shared" si="123"/>
        <v>0</v>
      </c>
      <c r="X143" s="16">
        <f t="shared" si="124"/>
        <v>0</v>
      </c>
      <c r="Y143" s="16">
        <f t="shared" si="125"/>
        <v>0</v>
      </c>
      <c r="Z143" s="16">
        <f t="shared" si="126"/>
        <v>0</v>
      </c>
      <c r="AA143" s="16">
        <f t="shared" si="127"/>
        <v>0</v>
      </c>
      <c r="AB143" s="16">
        <f t="shared" si="128"/>
        <v>0</v>
      </c>
      <c r="AC143" s="16">
        <f t="shared" si="129"/>
        <v>0</v>
      </c>
      <c r="AD143" s="16">
        <f t="shared" si="130"/>
        <v>0</v>
      </c>
      <c r="AE143" s="16">
        <f t="shared" si="131"/>
        <v>0</v>
      </c>
    </row>
    <row r="144" spans="1:31" x14ac:dyDescent="0.3">
      <c r="A144" s="14">
        <v>9</v>
      </c>
      <c r="C144" s="16">
        <f t="shared" si="106"/>
        <v>0</v>
      </c>
      <c r="D144" s="16">
        <f t="shared" si="107"/>
        <v>0</v>
      </c>
      <c r="E144" s="16">
        <f t="shared" si="108"/>
        <v>83</v>
      </c>
      <c r="F144" s="16">
        <f t="shared" si="109"/>
        <v>185</v>
      </c>
      <c r="G144" s="16">
        <f t="shared" si="110"/>
        <v>114</v>
      </c>
      <c r="H144" s="16">
        <f t="shared" si="111"/>
        <v>0</v>
      </c>
      <c r="I144" s="16">
        <f t="shared" si="112"/>
        <v>0</v>
      </c>
      <c r="J144" s="16">
        <f t="shared" si="113"/>
        <v>103</v>
      </c>
      <c r="K144" s="16">
        <f t="shared" si="114"/>
        <v>167</v>
      </c>
      <c r="L144" s="16">
        <f t="shared" si="115"/>
        <v>0</v>
      </c>
      <c r="M144" s="16">
        <f t="shared" si="116"/>
        <v>0</v>
      </c>
      <c r="N144" s="16">
        <f t="shared" si="117"/>
        <v>0</v>
      </c>
      <c r="O144" s="16">
        <f t="shared" si="118"/>
        <v>0</v>
      </c>
      <c r="Q144" s="14">
        <v>9</v>
      </c>
      <c r="S144" s="16">
        <f t="shared" si="119"/>
        <v>0</v>
      </c>
      <c r="T144" s="16">
        <f t="shared" si="120"/>
        <v>0</v>
      </c>
      <c r="U144" s="16">
        <f t="shared" si="121"/>
        <v>0</v>
      </c>
      <c r="V144" s="16">
        <f t="shared" si="122"/>
        <v>185</v>
      </c>
      <c r="W144" s="16">
        <f t="shared" si="123"/>
        <v>0</v>
      </c>
      <c r="X144" s="16">
        <f t="shared" si="124"/>
        <v>0</v>
      </c>
      <c r="Y144" s="16">
        <f t="shared" si="125"/>
        <v>0</v>
      </c>
      <c r="Z144" s="16">
        <f t="shared" si="126"/>
        <v>0</v>
      </c>
      <c r="AA144" s="16">
        <f t="shared" si="127"/>
        <v>167</v>
      </c>
      <c r="AB144" s="16">
        <f t="shared" si="128"/>
        <v>0</v>
      </c>
      <c r="AC144" s="16">
        <f t="shared" si="129"/>
        <v>0</v>
      </c>
      <c r="AD144" s="16">
        <f t="shared" si="130"/>
        <v>0</v>
      </c>
      <c r="AE144" s="16">
        <f t="shared" si="131"/>
        <v>0</v>
      </c>
    </row>
    <row r="145" spans="1:31" x14ac:dyDescent="0.3">
      <c r="A145" s="14">
        <v>10</v>
      </c>
      <c r="C145" s="16">
        <f t="shared" si="106"/>
        <v>0</v>
      </c>
      <c r="D145" s="16">
        <f t="shared" si="107"/>
        <v>0</v>
      </c>
      <c r="E145" s="16">
        <f t="shared" si="108"/>
        <v>0</v>
      </c>
      <c r="F145" s="16">
        <f t="shared" si="109"/>
        <v>95</v>
      </c>
      <c r="G145" s="16">
        <f t="shared" si="110"/>
        <v>0</v>
      </c>
      <c r="H145" s="16">
        <f t="shared" si="111"/>
        <v>0</v>
      </c>
      <c r="I145" s="16">
        <f t="shared" si="112"/>
        <v>0</v>
      </c>
      <c r="J145" s="16">
        <f t="shared" si="113"/>
        <v>0</v>
      </c>
      <c r="K145" s="16">
        <f t="shared" si="114"/>
        <v>83</v>
      </c>
      <c r="L145" s="16">
        <f t="shared" si="115"/>
        <v>0</v>
      </c>
      <c r="M145" s="16">
        <f t="shared" si="116"/>
        <v>0</v>
      </c>
      <c r="N145" s="16">
        <f t="shared" si="117"/>
        <v>0</v>
      </c>
      <c r="O145" s="16">
        <f t="shared" si="118"/>
        <v>0</v>
      </c>
      <c r="Q145" s="14">
        <v>10</v>
      </c>
      <c r="S145" s="16">
        <f t="shared" si="119"/>
        <v>0</v>
      </c>
      <c r="T145" s="16">
        <f t="shared" si="120"/>
        <v>0</v>
      </c>
      <c r="U145" s="16">
        <f t="shared" si="121"/>
        <v>0</v>
      </c>
      <c r="V145" s="16">
        <f t="shared" si="122"/>
        <v>0</v>
      </c>
      <c r="W145" s="16">
        <f t="shared" si="123"/>
        <v>0</v>
      </c>
      <c r="X145" s="16">
        <f t="shared" si="124"/>
        <v>0</v>
      </c>
      <c r="Y145" s="16">
        <f t="shared" si="125"/>
        <v>0</v>
      </c>
      <c r="Z145" s="16">
        <f t="shared" si="126"/>
        <v>0</v>
      </c>
      <c r="AA145" s="16">
        <f t="shared" si="127"/>
        <v>0</v>
      </c>
      <c r="AB145" s="16">
        <f t="shared" si="128"/>
        <v>0</v>
      </c>
      <c r="AC145" s="16">
        <f t="shared" si="129"/>
        <v>0</v>
      </c>
      <c r="AD145" s="16">
        <f t="shared" si="130"/>
        <v>0</v>
      </c>
      <c r="AE145" s="16">
        <f t="shared" si="131"/>
        <v>0</v>
      </c>
    </row>
    <row r="146" spans="1:31" x14ac:dyDescent="0.3">
      <c r="A146" s="14">
        <v>11</v>
      </c>
      <c r="C146" s="16">
        <f t="shared" si="106"/>
        <v>0</v>
      </c>
      <c r="D146" s="16">
        <f t="shared" si="107"/>
        <v>0</v>
      </c>
      <c r="E146" s="16">
        <f t="shared" si="108"/>
        <v>0</v>
      </c>
      <c r="F146" s="16">
        <f t="shared" si="109"/>
        <v>0</v>
      </c>
      <c r="G146" s="16">
        <f t="shared" si="110"/>
        <v>0</v>
      </c>
      <c r="H146" s="16">
        <f t="shared" si="111"/>
        <v>0</v>
      </c>
      <c r="I146" s="16">
        <f t="shared" si="112"/>
        <v>0</v>
      </c>
      <c r="J146" s="16">
        <f t="shared" si="113"/>
        <v>0</v>
      </c>
      <c r="K146" s="16">
        <f t="shared" si="114"/>
        <v>0</v>
      </c>
      <c r="L146" s="16">
        <f t="shared" si="115"/>
        <v>0</v>
      </c>
      <c r="M146" s="16">
        <f t="shared" si="116"/>
        <v>0</v>
      </c>
      <c r="N146" s="16">
        <f t="shared" si="117"/>
        <v>0</v>
      </c>
      <c r="O146" s="16">
        <f t="shared" si="118"/>
        <v>0</v>
      </c>
      <c r="Q146" s="14">
        <v>11</v>
      </c>
      <c r="S146" s="16">
        <f t="shared" si="119"/>
        <v>0</v>
      </c>
      <c r="T146" s="16">
        <f t="shared" si="120"/>
        <v>0</v>
      </c>
      <c r="U146" s="16">
        <f t="shared" si="121"/>
        <v>0</v>
      </c>
      <c r="V146" s="16">
        <f t="shared" si="122"/>
        <v>0</v>
      </c>
      <c r="W146" s="16">
        <f t="shared" si="123"/>
        <v>0</v>
      </c>
      <c r="X146" s="16">
        <f t="shared" si="124"/>
        <v>0</v>
      </c>
      <c r="Y146" s="16">
        <f t="shared" si="125"/>
        <v>0</v>
      </c>
      <c r="Z146" s="16">
        <f t="shared" si="126"/>
        <v>0</v>
      </c>
      <c r="AA146" s="16">
        <f t="shared" si="127"/>
        <v>0</v>
      </c>
      <c r="AB146" s="16">
        <f t="shared" si="128"/>
        <v>0</v>
      </c>
      <c r="AC146" s="16">
        <f t="shared" si="129"/>
        <v>0</v>
      </c>
      <c r="AD146" s="16">
        <f t="shared" si="130"/>
        <v>0</v>
      </c>
      <c r="AE146" s="16">
        <f t="shared" si="131"/>
        <v>0</v>
      </c>
    </row>
    <row r="147" spans="1:31" x14ac:dyDescent="0.3">
      <c r="A147" s="14">
        <v>12</v>
      </c>
      <c r="C147" s="16">
        <f t="shared" si="106"/>
        <v>0</v>
      </c>
      <c r="D147" s="16">
        <f t="shared" si="107"/>
        <v>0</v>
      </c>
      <c r="E147" s="16">
        <f t="shared" si="108"/>
        <v>0</v>
      </c>
      <c r="F147" s="16">
        <f t="shared" si="109"/>
        <v>0</v>
      </c>
      <c r="G147" s="16">
        <f t="shared" si="110"/>
        <v>0</v>
      </c>
      <c r="H147" s="16">
        <f t="shared" si="111"/>
        <v>0</v>
      </c>
      <c r="I147" s="16">
        <f t="shared" si="112"/>
        <v>0</v>
      </c>
      <c r="J147" s="16">
        <f t="shared" si="113"/>
        <v>0</v>
      </c>
      <c r="K147" s="16">
        <f t="shared" si="114"/>
        <v>0</v>
      </c>
      <c r="L147" s="16">
        <f t="shared" si="115"/>
        <v>0</v>
      </c>
      <c r="M147" s="16">
        <f t="shared" si="116"/>
        <v>0</v>
      </c>
      <c r="N147" s="16">
        <f t="shared" si="117"/>
        <v>0</v>
      </c>
      <c r="O147" s="16">
        <f t="shared" si="118"/>
        <v>0</v>
      </c>
      <c r="Q147" s="14">
        <v>12</v>
      </c>
      <c r="S147" s="16">
        <f t="shared" si="119"/>
        <v>0</v>
      </c>
      <c r="T147" s="16">
        <f t="shared" si="120"/>
        <v>0</v>
      </c>
      <c r="U147" s="16">
        <f t="shared" si="121"/>
        <v>0</v>
      </c>
      <c r="V147" s="16">
        <f t="shared" si="122"/>
        <v>0</v>
      </c>
      <c r="W147" s="16">
        <f t="shared" si="123"/>
        <v>0</v>
      </c>
      <c r="X147" s="16">
        <f t="shared" si="124"/>
        <v>0</v>
      </c>
      <c r="Y147" s="16">
        <f t="shared" si="125"/>
        <v>0</v>
      </c>
      <c r="Z147" s="16">
        <f t="shared" si="126"/>
        <v>0</v>
      </c>
      <c r="AA147" s="16">
        <f t="shared" si="127"/>
        <v>0</v>
      </c>
      <c r="AB147" s="16">
        <f t="shared" si="128"/>
        <v>0</v>
      </c>
      <c r="AC147" s="16">
        <f t="shared" si="129"/>
        <v>0</v>
      </c>
      <c r="AD147" s="16">
        <f t="shared" si="130"/>
        <v>0</v>
      </c>
      <c r="AE147" s="16">
        <f t="shared" si="131"/>
        <v>0</v>
      </c>
    </row>
    <row r="148" spans="1:31" x14ac:dyDescent="0.3"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</row>
  </sheetData>
  <sheetProtection algorithmName="SHA-512" hashValue="T9BjduLzT081HtPvhW3wyW2oa1K6YrhytJCSPpNU5FS5c0ZP6rj6N/+knk7K0c2FtBIgjzeIb+SffTYI/xeJ6A==" saltValue="soLPtbqRcYhKLpNbWk0SrQ==" spinCount="100000" sheet="1" objects="1" scenarios="1"/>
  <conditionalFormatting sqref="C3:O15">
    <cfRule type="cellIs" dxfId="37" priority="34" operator="equal">
      <formula>0</formula>
    </cfRule>
  </conditionalFormatting>
  <conditionalFormatting sqref="C21:O34">
    <cfRule type="cellIs" dxfId="36" priority="33" operator="equal">
      <formula>0</formula>
    </cfRule>
  </conditionalFormatting>
  <conditionalFormatting sqref="S21:AE34">
    <cfRule type="cellIs" dxfId="35" priority="32" operator="equal">
      <formula>0</formula>
    </cfRule>
  </conditionalFormatting>
  <conditionalFormatting sqref="C40:O53">
    <cfRule type="cellIs" dxfId="34" priority="31" operator="equal">
      <formula>0</formula>
    </cfRule>
  </conditionalFormatting>
  <conditionalFormatting sqref="S53:AE53">
    <cfRule type="cellIs" dxfId="33" priority="30" operator="equal">
      <formula>0</formula>
    </cfRule>
  </conditionalFormatting>
  <conditionalFormatting sqref="S40:AE52">
    <cfRule type="cellIs" dxfId="32" priority="29" operator="equal">
      <formula>0</formula>
    </cfRule>
  </conditionalFormatting>
  <conditionalFormatting sqref="AI53:AU53">
    <cfRule type="cellIs" dxfId="31" priority="28" operator="equal">
      <formula>0</formula>
    </cfRule>
  </conditionalFormatting>
  <conditionalFormatting sqref="AI40:AU52">
    <cfRule type="cellIs" dxfId="30" priority="27" operator="equal">
      <formula>0</formula>
    </cfRule>
  </conditionalFormatting>
  <conditionalFormatting sqref="C78:O91">
    <cfRule type="cellIs" dxfId="29" priority="26" operator="equal">
      <formula>0</formula>
    </cfRule>
  </conditionalFormatting>
  <conditionalFormatting sqref="S91:AE91">
    <cfRule type="cellIs" dxfId="28" priority="25" operator="equal">
      <formula>0</formula>
    </cfRule>
  </conditionalFormatting>
  <conditionalFormatting sqref="AI91:AU91">
    <cfRule type="cellIs" dxfId="27" priority="23" operator="equal">
      <formula>0</formula>
    </cfRule>
  </conditionalFormatting>
  <conditionalFormatting sqref="C97:O110">
    <cfRule type="cellIs" dxfId="26" priority="16" operator="equal">
      <formula>0</formula>
    </cfRule>
  </conditionalFormatting>
  <conditionalFormatting sqref="S110:AE110">
    <cfRule type="cellIs" dxfId="25" priority="15" operator="equal">
      <formula>0</formula>
    </cfRule>
  </conditionalFormatting>
  <conditionalFormatting sqref="S97:AE109">
    <cfRule type="cellIs" dxfId="24" priority="14" operator="equal">
      <formula>0</formula>
    </cfRule>
  </conditionalFormatting>
  <conditionalFormatting sqref="C60:O73">
    <cfRule type="cellIs" dxfId="23" priority="13" operator="equal">
      <formula>0</formula>
    </cfRule>
  </conditionalFormatting>
  <conditionalFormatting sqref="S73:AE73">
    <cfRule type="cellIs" dxfId="22" priority="12" operator="equal">
      <formula>0</formula>
    </cfRule>
  </conditionalFormatting>
  <conditionalFormatting sqref="AI73:AU73">
    <cfRule type="cellIs" dxfId="21" priority="10" operator="equal">
      <formula>0</formula>
    </cfRule>
  </conditionalFormatting>
  <conditionalFormatting sqref="S60:AE72">
    <cfRule type="cellIs" dxfId="20" priority="8" operator="equal">
      <formula>0</formula>
    </cfRule>
  </conditionalFormatting>
  <conditionalFormatting sqref="AI60:AU72">
    <cfRule type="cellIs" dxfId="19" priority="7" operator="equal">
      <formula>0</formula>
    </cfRule>
  </conditionalFormatting>
  <conditionalFormatting sqref="S78:AE90">
    <cfRule type="cellIs" dxfId="18" priority="6" operator="equal">
      <formula>0</formula>
    </cfRule>
  </conditionalFormatting>
  <conditionalFormatting sqref="AI78:AU90">
    <cfRule type="cellIs" dxfId="17" priority="5" operator="equal">
      <formula>0</formula>
    </cfRule>
  </conditionalFormatting>
  <conditionalFormatting sqref="C116:O129">
    <cfRule type="cellIs" dxfId="16" priority="4" operator="equal">
      <formula>0</formula>
    </cfRule>
  </conditionalFormatting>
  <conditionalFormatting sqref="S116:AE129">
    <cfRule type="cellIs" dxfId="15" priority="3" operator="equal">
      <formula>0</formula>
    </cfRule>
  </conditionalFormatting>
  <conditionalFormatting sqref="C135:O148">
    <cfRule type="cellIs" dxfId="14" priority="2" operator="equal">
      <formula>0</formula>
    </cfRule>
  </conditionalFormatting>
  <conditionalFormatting sqref="S135:AE148">
    <cfRule type="cellIs" dxfId="13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74D0-FFB0-4056-A90C-6EC0FA693A0A}">
  <dimension ref="A2:AW92"/>
  <sheetViews>
    <sheetView topLeftCell="A19" zoomScale="85" zoomScaleNormal="85" workbookViewId="0">
      <selection activeCell="A26" sqref="A26"/>
    </sheetView>
  </sheetViews>
  <sheetFormatPr defaultColWidth="7" defaultRowHeight="13.2" x14ac:dyDescent="0.3"/>
  <cols>
    <col min="1" max="1" width="7" style="35"/>
    <col min="2" max="6" width="7.109375" style="35" bestFit="1" customWidth="1"/>
    <col min="7" max="7" width="8.44140625" style="35" bestFit="1" customWidth="1"/>
    <col min="8" max="21" width="7.109375" style="35" bestFit="1" customWidth="1"/>
    <col min="22" max="29" width="7.44140625" style="35" bestFit="1" customWidth="1"/>
    <col min="30" max="31" width="7.109375" style="35" bestFit="1" customWidth="1"/>
    <col min="32" max="33" width="7" style="35"/>
    <col min="34" max="47" width="7.109375" style="35" bestFit="1" customWidth="1"/>
    <col min="48" max="16384" width="7" style="35"/>
  </cols>
  <sheetData>
    <row r="2" spans="1:22" x14ac:dyDescent="0.3">
      <c r="A2" s="35" t="s">
        <v>42</v>
      </c>
      <c r="B2" s="36"/>
      <c r="C2" s="36"/>
      <c r="D2" s="36"/>
      <c r="E2" s="36"/>
      <c r="F2" s="37"/>
      <c r="G2" s="37">
        <v>0</v>
      </c>
      <c r="H2" s="37">
        <v>1</v>
      </c>
      <c r="I2" s="37">
        <v>2</v>
      </c>
      <c r="J2" s="37">
        <v>3</v>
      </c>
      <c r="K2" s="37">
        <v>4</v>
      </c>
      <c r="L2" s="37">
        <v>5</v>
      </c>
      <c r="M2" s="37">
        <v>6</v>
      </c>
      <c r="N2" s="37">
        <v>7</v>
      </c>
      <c r="O2" s="37">
        <v>8</v>
      </c>
      <c r="P2" s="37">
        <v>9</v>
      </c>
      <c r="Q2" s="37">
        <v>10</v>
      </c>
      <c r="R2" s="37">
        <v>11</v>
      </c>
      <c r="S2" s="37">
        <v>12</v>
      </c>
    </row>
    <row r="3" spans="1:22" x14ac:dyDescent="0.3">
      <c r="B3" s="36"/>
      <c r="C3" s="36"/>
      <c r="D3" s="36"/>
      <c r="E3" s="36"/>
      <c r="F3" s="37">
        <v>0</v>
      </c>
      <c r="G3" s="38">
        <f t="array" ref="G3:S15">ABS('Put you Data'!G3:S15-'Gen Image'!G3:S15)</f>
        <v>0</v>
      </c>
      <c r="H3" s="38">
        <v>0</v>
      </c>
      <c r="I3" s="38">
        <v>0</v>
      </c>
      <c r="J3" s="38">
        <v>0</v>
      </c>
      <c r="K3" s="38">
        <v>0</v>
      </c>
      <c r="L3" s="38">
        <v>0</v>
      </c>
      <c r="M3" s="38">
        <v>0</v>
      </c>
      <c r="N3" s="38">
        <v>0</v>
      </c>
      <c r="O3" s="38">
        <v>0</v>
      </c>
      <c r="P3" s="38">
        <v>0</v>
      </c>
      <c r="Q3" s="38">
        <v>0</v>
      </c>
      <c r="R3" s="38">
        <v>0</v>
      </c>
      <c r="S3" s="38">
        <v>0</v>
      </c>
    </row>
    <row r="4" spans="1:22" x14ac:dyDescent="0.3">
      <c r="B4" s="37" t="s">
        <v>0</v>
      </c>
      <c r="C4" s="45">
        <v>2007090</v>
      </c>
      <c r="D4" s="45"/>
      <c r="E4" s="36"/>
      <c r="F4" s="37">
        <v>1</v>
      </c>
      <c r="G4" s="38">
        <v>0</v>
      </c>
      <c r="H4" s="38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</row>
    <row r="5" spans="1:22" x14ac:dyDescent="0.3">
      <c r="B5" s="36"/>
      <c r="C5" s="36"/>
      <c r="D5" s="36"/>
      <c r="E5" s="36"/>
      <c r="F5" s="37">
        <v>2</v>
      </c>
      <c r="G5" s="38">
        <v>0</v>
      </c>
      <c r="H5" s="38">
        <v>0</v>
      </c>
      <c r="I5" s="38">
        <v>0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</row>
    <row r="6" spans="1:22" x14ac:dyDescent="0.3">
      <c r="B6" s="36"/>
      <c r="C6" s="36"/>
      <c r="D6" s="36"/>
      <c r="E6" s="36"/>
      <c r="F6" s="37">
        <v>3</v>
      </c>
      <c r="G6" s="38">
        <v>0</v>
      </c>
      <c r="H6" s="38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v>0</v>
      </c>
      <c r="S6" s="38">
        <v>0</v>
      </c>
    </row>
    <row r="7" spans="1:22" x14ac:dyDescent="0.3">
      <c r="B7" s="36"/>
      <c r="C7" s="36"/>
      <c r="D7" s="36"/>
      <c r="E7" s="36"/>
      <c r="F7" s="37">
        <v>4</v>
      </c>
      <c r="G7" s="38">
        <v>0</v>
      </c>
      <c r="H7" s="38">
        <v>0</v>
      </c>
      <c r="I7" s="38">
        <v>0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v>0</v>
      </c>
      <c r="S7" s="38">
        <v>0</v>
      </c>
    </row>
    <row r="8" spans="1:22" x14ac:dyDescent="0.3">
      <c r="B8" s="35" t="s">
        <v>45</v>
      </c>
      <c r="C8" s="35">
        <v>57</v>
      </c>
      <c r="E8" s="36"/>
      <c r="F8" s="37">
        <v>5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</row>
    <row r="9" spans="1:22" x14ac:dyDescent="0.3">
      <c r="B9" s="35" t="s">
        <v>43</v>
      </c>
      <c r="C9" s="35" t="e">
        <f>SUM(I76,H23,M23,R23,Q92,AG92,Q75,AG75,Q58,AG58,Q41,AG41,AW41,V16)</f>
        <v>#VALUE!</v>
      </c>
      <c r="E9" s="36"/>
      <c r="F9" s="37">
        <v>6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</row>
    <row r="10" spans="1:22" x14ac:dyDescent="0.3">
      <c r="B10" s="35" t="s">
        <v>47</v>
      </c>
      <c r="C10" s="35" t="e">
        <f>C9/C8*100</f>
        <v>#VALUE!</v>
      </c>
      <c r="D10" s="35" t="s">
        <v>48</v>
      </c>
      <c r="E10" s="36"/>
      <c r="F10" s="37">
        <v>7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</row>
    <row r="11" spans="1:22" x14ac:dyDescent="0.3">
      <c r="B11" s="35" t="s">
        <v>49</v>
      </c>
      <c r="C11" s="35" t="e">
        <f>_xlfn.CEILING.MATH(IF(V16&gt;0,C10*0.1,C10*0.05),0)</f>
        <v>#VALUE!</v>
      </c>
      <c r="D11" s="35" t="s">
        <v>50</v>
      </c>
      <c r="E11" s="36"/>
      <c r="F11" s="37">
        <v>8</v>
      </c>
      <c r="G11" s="38">
        <v>0</v>
      </c>
      <c r="H11" s="38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</row>
    <row r="12" spans="1:22" x14ac:dyDescent="0.3">
      <c r="B12" s="36"/>
      <c r="C12" s="36"/>
      <c r="D12" s="36"/>
      <c r="E12" s="36"/>
      <c r="F12" s="37">
        <v>9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</row>
    <row r="13" spans="1:22" x14ac:dyDescent="0.3">
      <c r="B13" s="36"/>
      <c r="C13" s="36"/>
      <c r="D13" s="36"/>
      <c r="E13" s="36"/>
      <c r="F13" s="37">
        <v>10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</row>
    <row r="14" spans="1:22" x14ac:dyDescent="0.3">
      <c r="B14" s="36"/>
      <c r="C14" s="36"/>
      <c r="D14" s="36"/>
      <c r="E14" s="36"/>
      <c r="F14" s="37">
        <v>11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</row>
    <row r="15" spans="1:22" x14ac:dyDescent="0.3">
      <c r="B15" s="36"/>
      <c r="C15" s="36"/>
      <c r="D15" s="36"/>
      <c r="E15" s="36"/>
      <c r="F15" s="37">
        <v>12</v>
      </c>
      <c r="G15" s="38">
        <v>0</v>
      </c>
      <c r="H15" s="38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V15" s="35" t="s">
        <v>41</v>
      </c>
    </row>
    <row r="16" spans="1:22" x14ac:dyDescent="0.3">
      <c r="B16" s="36"/>
      <c r="C16" s="36"/>
      <c r="D16" s="36"/>
      <c r="E16" s="36"/>
      <c r="F16" s="37"/>
      <c r="G16" s="37"/>
      <c r="H16" s="37"/>
      <c r="I16" s="37"/>
      <c r="J16" s="37"/>
      <c r="K16" s="37"/>
      <c r="L16" s="36" t="s">
        <v>40</v>
      </c>
      <c r="M16" s="37"/>
      <c r="N16" s="37"/>
      <c r="O16" s="37"/>
      <c r="P16" s="37"/>
      <c r="Q16" s="37"/>
      <c r="R16" s="37"/>
      <c r="S16" s="37"/>
      <c r="T16" s="35">
        <f>SUM(G3:S15)</f>
        <v>0</v>
      </c>
      <c r="V16" s="35">
        <f>IF(T16&lt;4,1,0)</f>
        <v>1</v>
      </c>
    </row>
    <row r="17" spans="1:47" x14ac:dyDescent="0.3">
      <c r="B17" s="36"/>
      <c r="C17" s="36"/>
      <c r="D17" s="36"/>
      <c r="E17" s="36"/>
      <c r="F17" s="36"/>
      <c r="G17" s="36"/>
      <c r="H17" s="36"/>
      <c r="I17" s="36"/>
      <c r="J17" s="36"/>
      <c r="L17" s="36"/>
      <c r="M17" s="36"/>
      <c r="N17" s="36"/>
      <c r="O17" s="36"/>
      <c r="P17" s="36"/>
      <c r="Q17" s="36"/>
      <c r="R17" s="36"/>
      <c r="S17" s="36"/>
    </row>
    <row r="18" spans="1:47" x14ac:dyDescent="0.3">
      <c r="C18" s="35" t="s">
        <v>34</v>
      </c>
    </row>
    <row r="19" spans="1:47" x14ac:dyDescent="0.3">
      <c r="C19" s="35" t="s">
        <v>4</v>
      </c>
      <c r="D19" s="38">
        <f>ABS('Put you Data'!D19-calcu!X12)</f>
        <v>5.3373355318742099E-8</v>
      </c>
      <c r="E19" s="38">
        <f>ABS('Put you Data'!E19-calcu!Y12)</f>
        <v>0</v>
      </c>
      <c r="F19" s="38">
        <f>ABS('Put you Data'!F19-calcu!Z12)</f>
        <v>5.3373355318742099E-8</v>
      </c>
      <c r="H19" s="35" t="s">
        <v>5</v>
      </c>
      <c r="I19" s="38">
        <f>ABS('Put you Data'!I19-calcu!AB12)</f>
        <v>5.3373355318742099E-8</v>
      </c>
      <c r="J19" s="38">
        <f>ABS('Put you Data'!J19-calcu!AC12)</f>
        <v>1.0674671069299535E-7</v>
      </c>
      <c r="K19" s="38">
        <f>ABS('Put you Data'!K19-calcu!AD12)</f>
        <v>5.3373355318742099E-8</v>
      </c>
      <c r="N19" s="38">
        <f>ABS('Put you Data'!N19-calcu!AN29)</f>
        <v>5.8728866065421714E-8</v>
      </c>
      <c r="O19" s="38">
        <f>ABS('Put you Data'!O19-calcu!AO29)</f>
        <v>1.2056169727825417E-7</v>
      </c>
      <c r="P19" s="38">
        <f>ABS('Put you Data'!P19-calcu!AP29)</f>
        <v>5.8728866065421714E-8</v>
      </c>
      <c r="Q19" s="37"/>
    </row>
    <row r="20" spans="1:47" x14ac:dyDescent="0.3">
      <c r="D20" s="38">
        <f>ABS('Put you Data'!D20-calcu!X13)</f>
        <v>1.0674671069299535E-7</v>
      </c>
      <c r="E20" s="38">
        <f>ABS('Put you Data'!E20-calcu!Y13)</f>
        <v>0</v>
      </c>
      <c r="F20" s="38">
        <f>ABS('Put you Data'!F20-calcu!Z13)</f>
        <v>1.0674671069299535E-7</v>
      </c>
      <c r="I20" s="38">
        <f>ABS('Put you Data'!I20-calcu!AB13)</f>
        <v>0</v>
      </c>
      <c r="J20" s="38">
        <f>ABS('Put you Data'!J20-calcu!AC13)</f>
        <v>0</v>
      </c>
      <c r="K20" s="38">
        <f>ABS('Put you Data'!K20-calcu!AD13)</f>
        <v>0</v>
      </c>
      <c r="N20" s="38">
        <f>ABS('Put you Data'!N20-calcu!AN30)</f>
        <v>1.2056169727825417E-7</v>
      </c>
      <c r="O20" s="38">
        <f>ABS('Put you Data'!O20-calcu!AO30)</f>
        <v>1.0641441537950769E-6</v>
      </c>
      <c r="P20" s="38">
        <f>ABS('Put you Data'!P20-calcu!AP30)</f>
        <v>1.2056169727825417E-7</v>
      </c>
      <c r="Q20" s="37"/>
    </row>
    <row r="21" spans="1:47" x14ac:dyDescent="0.3">
      <c r="D21" s="38">
        <f>ABS('Put you Data'!D21-calcu!X14)</f>
        <v>5.3373355318742099E-8</v>
      </c>
      <c r="E21" s="38">
        <f>ABS('Put you Data'!E21-calcu!Y14)</f>
        <v>0</v>
      </c>
      <c r="F21" s="38">
        <f>ABS('Put you Data'!F21-calcu!Z14)</f>
        <v>5.3373355318742099E-8</v>
      </c>
      <c r="I21" s="38">
        <f>ABS('Put you Data'!I21-calcu!AB14)</f>
        <v>5.3373355318742099E-8</v>
      </c>
      <c r="J21" s="38">
        <f>ABS('Put you Data'!J21-calcu!AC14)</f>
        <v>1.0674671069299535E-7</v>
      </c>
      <c r="K21" s="38">
        <f>ABS('Put you Data'!K21-calcu!AD14)</f>
        <v>5.3373355318742099E-8</v>
      </c>
      <c r="N21" s="38">
        <f>ABS('Put you Data'!N21-calcu!AN31)</f>
        <v>5.8728866065421714E-8</v>
      </c>
      <c r="O21" s="38">
        <f>ABS('Put you Data'!O21-calcu!AO31)</f>
        <v>1.2056169727825417E-7</v>
      </c>
      <c r="P21" s="38">
        <f>ABS('Put you Data'!P21-calcu!AP31)</f>
        <v>5.8728866065421714E-8</v>
      </c>
      <c r="Q21" s="37"/>
    </row>
    <row r="22" spans="1:47" x14ac:dyDescent="0.3">
      <c r="G22" s="35">
        <f>SUM(D19:F21)</f>
        <v>4.269868426609591E-7</v>
      </c>
      <c r="H22" s="35" t="s">
        <v>41</v>
      </c>
      <c r="L22" s="35">
        <f>SUM(I19:K21)</f>
        <v>4.269868426609591E-7</v>
      </c>
      <c r="M22" s="35" t="s">
        <v>41</v>
      </c>
      <c r="N22" s="37"/>
      <c r="O22" s="37"/>
      <c r="P22" s="37"/>
      <c r="Q22" s="35">
        <f>SUM(N19:P21)</f>
        <v>1.7813064071697804E-6</v>
      </c>
      <c r="R22" s="35" t="s">
        <v>41</v>
      </c>
    </row>
    <row r="23" spans="1:47" x14ac:dyDescent="0.3">
      <c r="H23" s="35">
        <f>IF(G22&lt;0.1,2,0)</f>
        <v>2</v>
      </c>
      <c r="M23" s="35">
        <f>IF(L22&lt;0.1,2,0)</f>
        <v>2</v>
      </c>
      <c r="R23" s="35">
        <f>IF(Q22&lt;0.1,2,0)</f>
        <v>2</v>
      </c>
    </row>
    <row r="25" spans="1:47" x14ac:dyDescent="0.3">
      <c r="A25" s="37"/>
      <c r="B25" s="39" t="s">
        <v>36</v>
      </c>
      <c r="C25" s="37"/>
      <c r="D25" s="37"/>
      <c r="E25" s="37"/>
      <c r="F25" s="37"/>
      <c r="G25" s="37" t="s">
        <v>7</v>
      </c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 t="s">
        <v>9</v>
      </c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 t="s">
        <v>10</v>
      </c>
      <c r="AL25" s="37"/>
      <c r="AM25" s="37"/>
      <c r="AN25" s="37"/>
      <c r="AO25" s="37"/>
      <c r="AP25" s="37"/>
      <c r="AQ25" s="37"/>
      <c r="AR25" s="37"/>
      <c r="AS25" s="37"/>
      <c r="AT25" s="37"/>
      <c r="AU25" s="37"/>
    </row>
    <row r="26" spans="1:47" x14ac:dyDescent="0.3">
      <c r="A26" s="37"/>
      <c r="B26" s="37"/>
      <c r="C26" s="40">
        <v>0</v>
      </c>
      <c r="D26" s="40">
        <v>1</v>
      </c>
      <c r="E26" s="40">
        <v>2</v>
      </c>
      <c r="F26" s="40">
        <v>3</v>
      </c>
      <c r="G26" s="40">
        <v>4</v>
      </c>
      <c r="H26" s="40">
        <v>5</v>
      </c>
      <c r="I26" s="40">
        <v>6</v>
      </c>
      <c r="J26" s="40">
        <v>7</v>
      </c>
      <c r="K26" s="40">
        <v>8</v>
      </c>
      <c r="L26" s="40">
        <v>9</v>
      </c>
      <c r="M26" s="40">
        <v>10</v>
      </c>
      <c r="N26" s="40">
        <v>11</v>
      </c>
      <c r="O26" s="40">
        <v>12</v>
      </c>
      <c r="P26" s="37"/>
      <c r="Q26" s="37"/>
      <c r="R26" s="37"/>
      <c r="S26" s="40">
        <v>0</v>
      </c>
      <c r="T26" s="40">
        <v>1</v>
      </c>
      <c r="U26" s="40">
        <v>2</v>
      </c>
      <c r="V26" s="40">
        <v>3</v>
      </c>
      <c r="W26" s="40">
        <v>4</v>
      </c>
      <c r="X26" s="40">
        <v>5</v>
      </c>
      <c r="Y26" s="40">
        <v>6</v>
      </c>
      <c r="Z26" s="40">
        <v>7</v>
      </c>
      <c r="AA26" s="40">
        <v>8</v>
      </c>
      <c r="AB26" s="40">
        <v>9</v>
      </c>
      <c r="AC26" s="40">
        <v>10</v>
      </c>
      <c r="AD26" s="40">
        <v>11</v>
      </c>
      <c r="AE26" s="40">
        <v>12</v>
      </c>
      <c r="AF26" s="37"/>
      <c r="AG26" s="37"/>
      <c r="AH26" s="37"/>
      <c r="AI26" s="40">
        <v>0</v>
      </c>
      <c r="AJ26" s="40">
        <v>1</v>
      </c>
      <c r="AK26" s="40">
        <v>2</v>
      </c>
      <c r="AL26" s="40">
        <v>3</v>
      </c>
      <c r="AM26" s="40">
        <v>4</v>
      </c>
      <c r="AN26" s="40">
        <v>5</v>
      </c>
      <c r="AO26" s="40">
        <v>6</v>
      </c>
      <c r="AP26" s="40">
        <v>7</v>
      </c>
      <c r="AQ26" s="40">
        <v>8</v>
      </c>
      <c r="AR26" s="40">
        <v>9</v>
      </c>
      <c r="AS26" s="40">
        <v>10</v>
      </c>
      <c r="AT26" s="40">
        <v>11</v>
      </c>
      <c r="AU26" s="40">
        <v>12</v>
      </c>
    </row>
    <row r="27" spans="1:47" x14ac:dyDescent="0.3">
      <c r="B27" s="40">
        <v>0</v>
      </c>
      <c r="C27" s="38">
        <f>ABS('Put you Data'!C27-calcu!C78)</f>
        <v>1</v>
      </c>
      <c r="D27" s="38">
        <f>ABS('Put you Data'!D27-calcu!D78)</f>
        <v>1</v>
      </c>
      <c r="E27" s="38">
        <f>ABS('Put you Data'!E27-calcu!E78)</f>
        <v>1</v>
      </c>
      <c r="F27" s="38">
        <f>ABS('Put you Data'!F27-calcu!F78)</f>
        <v>1</v>
      </c>
      <c r="G27" s="38">
        <f>ABS('Put you Data'!G27-calcu!G78)</f>
        <v>2</v>
      </c>
      <c r="H27" s="38">
        <f>ABS('Put you Data'!H27-calcu!H78)</f>
        <v>6</v>
      </c>
      <c r="I27" s="38">
        <f>ABS('Put you Data'!I27-calcu!I78)</f>
        <v>11</v>
      </c>
      <c r="J27" s="38">
        <f>ABS('Put you Data'!J27-calcu!J78)</f>
        <v>2</v>
      </c>
      <c r="K27" s="38">
        <f>ABS('Put you Data'!K27-calcu!K78)</f>
        <v>1</v>
      </c>
      <c r="L27" s="38">
        <f>ABS('Put you Data'!L27-calcu!L78)</f>
        <v>1</v>
      </c>
      <c r="M27" s="38" t="e">
        <f>ABS('Put you Data'!M27-calcu!M78)</f>
        <v>#VALUE!</v>
      </c>
      <c r="N27" s="38">
        <f>ABS('Put you Data'!N27-calcu!N78)</f>
        <v>1</v>
      </c>
      <c r="O27" s="38">
        <f>ABS('Put you Data'!O27-calcu!O78)</f>
        <v>0</v>
      </c>
      <c r="P27" s="37"/>
      <c r="R27" s="40">
        <v>0</v>
      </c>
      <c r="S27" s="38">
        <f>ABS('Put you Data'!S27-calcu!S78)</f>
        <v>0</v>
      </c>
      <c r="T27" s="38">
        <f>ABS('Put you Data'!T27-calcu!T78)</f>
        <v>1</v>
      </c>
      <c r="U27" s="38">
        <f>ABS('Put you Data'!U27-calcu!U78)</f>
        <v>1</v>
      </c>
      <c r="V27" s="38">
        <f>ABS('Put you Data'!V27-calcu!V78)</f>
        <v>1</v>
      </c>
      <c r="W27" s="38">
        <f>ABS('Put you Data'!W27-calcu!W78)</f>
        <v>1</v>
      </c>
      <c r="X27" s="38">
        <f>ABS('Put you Data'!X27-calcu!X78)</f>
        <v>2</v>
      </c>
      <c r="Y27" s="38">
        <f>ABS('Put you Data'!Y27-calcu!Y78)</f>
        <v>1</v>
      </c>
      <c r="Z27" s="38">
        <f>ABS('Put you Data'!Z27-calcu!Z78)</f>
        <v>0</v>
      </c>
      <c r="AA27" s="38">
        <f>ABS('Put you Data'!AA27-calcu!AA78)</f>
        <v>0</v>
      </c>
      <c r="AB27" s="38">
        <f>ABS('Put you Data'!AB27-calcu!AB78)</f>
        <v>0</v>
      </c>
      <c r="AC27" s="38">
        <f>ABS('Put you Data'!AC27-calcu!AC78)</f>
        <v>1</v>
      </c>
      <c r="AD27" s="38">
        <f>ABS('Put you Data'!AD27-calcu!AD78)</f>
        <v>1</v>
      </c>
      <c r="AE27" s="38">
        <f>ABS('Put you Data'!AE27-calcu!AE78)</f>
        <v>1</v>
      </c>
      <c r="AF27" s="37"/>
      <c r="AH27" s="40">
        <v>0</v>
      </c>
      <c r="AI27" s="38">
        <f>ABS('Put you Data'!AI27-calcu!AI78)</f>
        <v>1</v>
      </c>
      <c r="AJ27" s="38">
        <f>ABS('Put you Data'!AJ27-calcu!AJ78)</f>
        <v>0</v>
      </c>
      <c r="AK27" s="38">
        <f>ABS('Put you Data'!AK27-calcu!AK78)</f>
        <v>2</v>
      </c>
      <c r="AL27" s="38">
        <f>ABS('Put you Data'!AL27-calcu!AL78)</f>
        <v>1</v>
      </c>
      <c r="AM27" s="38">
        <f>ABS('Put you Data'!AM27-calcu!AM78)</f>
        <v>25</v>
      </c>
      <c r="AN27" s="38">
        <f>ABS('Put you Data'!AN27-calcu!AN78)</f>
        <v>107</v>
      </c>
      <c r="AO27" s="38">
        <f>ABS('Put you Data'!AO27-calcu!AO78)</f>
        <v>29</v>
      </c>
      <c r="AP27" s="38">
        <f>ABS('Put you Data'!AP27-calcu!AP78)</f>
        <v>1</v>
      </c>
      <c r="AQ27" s="38">
        <f>ABS('Put you Data'!AQ27-calcu!AQ78)</f>
        <v>1</v>
      </c>
      <c r="AR27" s="38">
        <f>ABS('Put you Data'!AR27-calcu!AR78)</f>
        <v>0</v>
      </c>
      <c r="AS27" s="38">
        <f>ABS('Put you Data'!AS27-calcu!AS78)</f>
        <v>0</v>
      </c>
      <c r="AT27" s="38">
        <f>ABS('Put you Data'!AT27-calcu!AT78)</f>
        <v>1</v>
      </c>
      <c r="AU27" s="38">
        <f>ABS('Put you Data'!AU27-calcu!AU78)</f>
        <v>3</v>
      </c>
    </row>
    <row r="28" spans="1:47" x14ac:dyDescent="0.3">
      <c r="B28" s="40">
        <v>1</v>
      </c>
      <c r="C28" s="38">
        <f>ABS('Put you Data'!C28-calcu!C79)</f>
        <v>1</v>
      </c>
      <c r="D28" s="38">
        <f>ABS('Put you Data'!D28-calcu!D79)</f>
        <v>1</v>
      </c>
      <c r="E28" s="38">
        <f>ABS('Put you Data'!E28-calcu!E79)</f>
        <v>1</v>
      </c>
      <c r="F28" s="38">
        <f>ABS('Put you Data'!F28-calcu!F79)</f>
        <v>2</v>
      </c>
      <c r="G28" s="38">
        <f>ABS('Put you Data'!G28-calcu!G79)</f>
        <v>9</v>
      </c>
      <c r="H28" s="38">
        <f>ABS('Put you Data'!H28-calcu!H79)</f>
        <v>21</v>
      </c>
      <c r="I28" s="38">
        <f>ABS('Put you Data'!I28-calcu!I79)</f>
        <v>30</v>
      </c>
      <c r="J28" s="38">
        <f>ABS('Put you Data'!J28-calcu!J79)</f>
        <v>7</v>
      </c>
      <c r="K28" s="38">
        <f>ABS('Put you Data'!K28-calcu!K79)</f>
        <v>1</v>
      </c>
      <c r="L28" s="38">
        <f>ABS('Put you Data'!L28-calcu!L79)</f>
        <v>0</v>
      </c>
      <c r="M28" s="38">
        <f>ABS('Put you Data'!M28-calcu!M79)</f>
        <v>1</v>
      </c>
      <c r="N28" s="38">
        <f>ABS('Put you Data'!N28-calcu!N79)</f>
        <v>1</v>
      </c>
      <c r="O28" s="38">
        <f>ABS('Put you Data'!O28-calcu!O79)</f>
        <v>0</v>
      </c>
      <c r="P28" s="37"/>
      <c r="R28" s="40">
        <v>1</v>
      </c>
      <c r="S28" s="38">
        <f>ABS('Put you Data'!S28-calcu!S79)</f>
        <v>1</v>
      </c>
      <c r="T28" s="38">
        <f>ABS('Put you Data'!T28-calcu!T79)</f>
        <v>1</v>
      </c>
      <c r="U28" s="38">
        <f>ABS('Put you Data'!U28-calcu!U79)</f>
        <v>2</v>
      </c>
      <c r="V28" s="38">
        <f>ABS('Put you Data'!V28-calcu!V79)</f>
        <v>4</v>
      </c>
      <c r="W28" s="38">
        <f>ABS('Put you Data'!W28-calcu!W79)</f>
        <v>15</v>
      </c>
      <c r="X28" s="38">
        <f>ABS('Put you Data'!X28-calcu!X79)</f>
        <v>19</v>
      </c>
      <c r="Y28" s="38">
        <f>ABS('Put you Data'!Y28-calcu!Y79)</f>
        <v>7</v>
      </c>
      <c r="Z28" s="38">
        <f>ABS('Put you Data'!Z28-calcu!Z79)</f>
        <v>2</v>
      </c>
      <c r="AA28" s="38">
        <f>ABS('Put you Data'!AA28-calcu!AA79)</f>
        <v>0</v>
      </c>
      <c r="AB28" s="38">
        <f>ABS('Put you Data'!AB28-calcu!AB79)</f>
        <v>0</v>
      </c>
      <c r="AC28" s="38">
        <f>ABS('Put you Data'!AC28-calcu!AC79)</f>
        <v>0</v>
      </c>
      <c r="AD28" s="38">
        <f>ABS('Put you Data'!AD28-calcu!AD79)</f>
        <v>1</v>
      </c>
      <c r="AE28" s="38">
        <f>ABS('Put you Data'!AE28-calcu!AE79)</f>
        <v>1</v>
      </c>
      <c r="AF28" s="37"/>
      <c r="AH28" s="40">
        <v>1</v>
      </c>
      <c r="AI28" s="38">
        <f>ABS('Put you Data'!AI28-calcu!AI79)</f>
        <v>0</v>
      </c>
      <c r="AJ28" s="38">
        <f>ABS('Put you Data'!AJ28-calcu!AJ79)</f>
        <v>0</v>
      </c>
      <c r="AK28" s="38">
        <f>ABS('Put you Data'!AK28-calcu!AK79)</f>
        <v>1</v>
      </c>
      <c r="AL28" s="38">
        <f>ABS('Put you Data'!AL28-calcu!AL79)</f>
        <v>111</v>
      </c>
      <c r="AM28" s="38">
        <f>ABS('Put you Data'!AM28-calcu!AM79)</f>
        <v>315</v>
      </c>
      <c r="AN28" s="38">
        <f>ABS('Put you Data'!AN28-calcu!AN79)</f>
        <v>559</v>
      </c>
      <c r="AO28" s="38">
        <f>ABS('Put you Data'!AO28-calcu!AO79)</f>
        <v>771</v>
      </c>
      <c r="AP28" s="38">
        <f>ABS('Put you Data'!AP28-calcu!AP79)</f>
        <v>158</v>
      </c>
      <c r="AQ28" s="38">
        <f>ABS('Put you Data'!AQ28-calcu!AQ79)</f>
        <v>1</v>
      </c>
      <c r="AR28" s="38">
        <f>ABS('Put you Data'!AR28-calcu!AR79)</f>
        <v>0</v>
      </c>
      <c r="AS28" s="38">
        <f>ABS('Put you Data'!AS28-calcu!AS79)</f>
        <v>0</v>
      </c>
      <c r="AT28" s="38">
        <f>ABS('Put you Data'!AT28-calcu!AT79)</f>
        <v>1</v>
      </c>
      <c r="AU28" s="38">
        <f>ABS('Put you Data'!AU28-calcu!AU79)</f>
        <v>1</v>
      </c>
    </row>
    <row r="29" spans="1:47" x14ac:dyDescent="0.3">
      <c r="B29" s="40">
        <v>2</v>
      </c>
      <c r="C29" s="38">
        <f>ABS('Put you Data'!C29-calcu!C80)</f>
        <v>1</v>
      </c>
      <c r="D29" s="38">
        <f>ABS('Put you Data'!D29-calcu!D80)</f>
        <v>1</v>
      </c>
      <c r="E29" s="38">
        <f>ABS('Put you Data'!E29-calcu!E80)</f>
        <v>3</v>
      </c>
      <c r="F29" s="38">
        <f>ABS('Put you Data'!F29-calcu!F80)</f>
        <v>20</v>
      </c>
      <c r="G29" s="38">
        <f>ABS('Put you Data'!G29-calcu!G80)</f>
        <v>36</v>
      </c>
      <c r="H29" s="38">
        <f>ABS('Put you Data'!H29-calcu!H80)</f>
        <v>30</v>
      </c>
      <c r="I29" s="38">
        <f>ABS('Put you Data'!I29-calcu!I80)</f>
        <v>75</v>
      </c>
      <c r="J29" s="38">
        <f>ABS('Put you Data'!J29-calcu!J80)</f>
        <v>34</v>
      </c>
      <c r="K29" s="38">
        <f>ABS('Put you Data'!K29-calcu!K80)</f>
        <v>4</v>
      </c>
      <c r="L29" s="38">
        <f>ABS('Put you Data'!L29-calcu!L80)</f>
        <v>1</v>
      </c>
      <c r="M29" s="38">
        <f>ABS('Put you Data'!M29-calcu!M80)</f>
        <v>1</v>
      </c>
      <c r="N29" s="38">
        <f>ABS('Put you Data'!N29-calcu!N80)</f>
        <v>1</v>
      </c>
      <c r="O29" s="38">
        <f>ABS('Put you Data'!O29-calcu!O80)</f>
        <v>1</v>
      </c>
      <c r="P29" s="37"/>
      <c r="R29" s="40">
        <v>2</v>
      </c>
      <c r="S29" s="38">
        <f>ABS('Put you Data'!S29-calcu!S80)</f>
        <v>1</v>
      </c>
      <c r="T29" s="38">
        <f>ABS('Put you Data'!T29-calcu!T80)</f>
        <v>1</v>
      </c>
      <c r="U29" s="38">
        <f>ABS('Put you Data'!U29-calcu!U80)</f>
        <v>4</v>
      </c>
      <c r="V29" s="38">
        <f>ABS('Put you Data'!V29-calcu!V80)</f>
        <v>25</v>
      </c>
      <c r="W29" s="38">
        <f>ABS('Put you Data'!W29-calcu!W80)</f>
        <v>62</v>
      </c>
      <c r="X29" s="38">
        <f>ABS('Put you Data'!X29-calcu!X80)</f>
        <v>54</v>
      </c>
      <c r="Y29" s="38">
        <f>ABS('Put you Data'!Y29-calcu!Y80)</f>
        <v>23</v>
      </c>
      <c r="Z29" s="38">
        <f>ABS('Put you Data'!Z29-calcu!Z80)</f>
        <v>9</v>
      </c>
      <c r="AA29" s="38">
        <f>ABS('Put you Data'!AA29-calcu!AA80)</f>
        <v>4</v>
      </c>
      <c r="AB29" s="38">
        <f>ABS('Put you Data'!AB29-calcu!AB80)</f>
        <v>2</v>
      </c>
      <c r="AC29" s="38">
        <f>ABS('Put you Data'!AC29-calcu!AC80)</f>
        <v>0</v>
      </c>
      <c r="AD29" s="38">
        <f>ABS('Put you Data'!AD29-calcu!AD80)</f>
        <v>1</v>
      </c>
      <c r="AE29" s="38">
        <f>ABS('Put you Data'!AE29-calcu!AE80)</f>
        <v>1</v>
      </c>
      <c r="AF29" s="37"/>
      <c r="AH29" s="40">
        <v>2</v>
      </c>
      <c r="AI29" s="38">
        <f>ABS('Put you Data'!AI29-calcu!AI80)</f>
        <v>0</v>
      </c>
      <c r="AJ29" s="38">
        <f>ABS('Put you Data'!AJ29-calcu!AJ80)</f>
        <v>0</v>
      </c>
      <c r="AK29" s="38">
        <f>ABS('Put you Data'!AK29-calcu!AK80)</f>
        <v>111</v>
      </c>
      <c r="AL29" s="38">
        <f>ABS('Put you Data'!AL29-calcu!AL80)</f>
        <v>989</v>
      </c>
      <c r="AM29" s="38">
        <f>ABS('Put you Data'!AM29-calcu!AM80)</f>
        <v>2057</v>
      </c>
      <c r="AN29" s="38">
        <f>ABS('Put you Data'!AN29-calcu!AN80)</f>
        <v>1270</v>
      </c>
      <c r="AO29" s="38">
        <f>ABS('Put you Data'!AO29-calcu!AO80)</f>
        <v>3498</v>
      </c>
      <c r="AP29" s="38">
        <f>ABS('Put you Data'!AP29-calcu!AP80)</f>
        <v>910</v>
      </c>
      <c r="AQ29" s="38">
        <f>ABS('Put you Data'!AQ29-calcu!AQ80)</f>
        <v>43</v>
      </c>
      <c r="AR29" s="38">
        <f>ABS('Put you Data'!AR29-calcu!AR80)</f>
        <v>6</v>
      </c>
      <c r="AS29" s="38">
        <f>ABS('Put you Data'!AS29-calcu!AS80)</f>
        <v>0</v>
      </c>
      <c r="AT29" s="38">
        <f>ABS('Put you Data'!AT29-calcu!AT80)</f>
        <v>1</v>
      </c>
      <c r="AU29" s="38">
        <f>ABS('Put you Data'!AU29-calcu!AU80)</f>
        <v>1</v>
      </c>
    </row>
    <row r="30" spans="1:47" x14ac:dyDescent="0.3">
      <c r="B30" s="40">
        <v>3</v>
      </c>
      <c r="C30" s="38">
        <f>ABS('Put you Data'!C30-calcu!C81)</f>
        <v>1</v>
      </c>
      <c r="D30" s="38">
        <f>ABS('Put you Data'!D30-calcu!D81)</f>
        <v>3</v>
      </c>
      <c r="E30" s="38">
        <f>ABS('Put you Data'!E30-calcu!E81)</f>
        <v>23</v>
      </c>
      <c r="F30" s="38">
        <f>ABS('Put you Data'!F30-calcu!F81)</f>
        <v>74</v>
      </c>
      <c r="G30" s="38">
        <f>ABS('Put you Data'!G30-calcu!G81)</f>
        <v>67</v>
      </c>
      <c r="H30" s="38">
        <f>ABS('Put you Data'!H30-calcu!H81)</f>
        <v>22</v>
      </c>
      <c r="I30" s="38">
        <f>ABS('Put you Data'!I30-calcu!I81)</f>
        <v>47</v>
      </c>
      <c r="J30" s="38">
        <f>ABS('Put you Data'!J30-calcu!J81)</f>
        <v>73</v>
      </c>
      <c r="K30" s="38">
        <f>ABS('Put you Data'!K30-calcu!K81)</f>
        <v>21</v>
      </c>
      <c r="L30" s="38">
        <f>ABS('Put you Data'!L30-calcu!L81)</f>
        <v>3</v>
      </c>
      <c r="M30" s="38">
        <f>ABS('Put you Data'!M30-calcu!M81)</f>
        <v>1</v>
      </c>
      <c r="N30" s="38">
        <f>ABS('Put you Data'!N30-calcu!N81)</f>
        <v>1</v>
      </c>
      <c r="O30" s="38">
        <f>ABS('Put you Data'!O30-calcu!O81)</f>
        <v>1</v>
      </c>
      <c r="P30" s="37"/>
      <c r="R30" s="40">
        <v>3</v>
      </c>
      <c r="S30" s="38">
        <f>ABS('Put you Data'!S30-calcu!S81)</f>
        <v>1</v>
      </c>
      <c r="T30" s="38">
        <f>ABS('Put you Data'!T30-calcu!T81)</f>
        <v>1</v>
      </c>
      <c r="U30" s="38">
        <f>ABS('Put you Data'!U30-calcu!U81)</f>
        <v>14</v>
      </c>
      <c r="V30" s="38">
        <f>ABS('Put you Data'!V30-calcu!V81)</f>
        <v>55</v>
      </c>
      <c r="W30" s="38">
        <f>ABS('Put you Data'!W30-calcu!W81)</f>
        <v>45</v>
      </c>
      <c r="X30" s="38">
        <f>ABS('Put you Data'!X30-calcu!X81)</f>
        <v>22</v>
      </c>
      <c r="Y30" s="38">
        <f>ABS('Put you Data'!Y30-calcu!Y81)</f>
        <v>18</v>
      </c>
      <c r="Z30" s="38">
        <f>ABS('Put you Data'!Z30-calcu!Z81)</f>
        <v>30</v>
      </c>
      <c r="AA30" s="38">
        <f>ABS('Put you Data'!AA30-calcu!AA81)</f>
        <v>28</v>
      </c>
      <c r="AB30" s="38">
        <f>ABS('Put you Data'!AB30-calcu!AB81)</f>
        <v>7</v>
      </c>
      <c r="AC30" s="38">
        <f>ABS('Put you Data'!AC30-calcu!AC81)</f>
        <v>0</v>
      </c>
      <c r="AD30" s="38">
        <f>ABS('Put you Data'!AD30-calcu!AD81)</f>
        <v>1</v>
      </c>
      <c r="AE30" s="38">
        <f>ABS('Put you Data'!AE30-calcu!AE81)</f>
        <v>0</v>
      </c>
      <c r="AF30" s="37"/>
      <c r="AH30" s="40">
        <v>3</v>
      </c>
      <c r="AI30" s="38">
        <f>ABS('Put you Data'!AI30-calcu!AI81)</f>
        <v>4</v>
      </c>
      <c r="AJ30" s="38">
        <f>ABS('Put you Data'!AJ30-calcu!AJ81)</f>
        <v>31</v>
      </c>
      <c r="AK30" s="38">
        <f>ABS('Put you Data'!AK30-calcu!AK81)</f>
        <v>407</v>
      </c>
      <c r="AL30" s="38">
        <f>ABS('Put you Data'!AL30-calcu!AL81)</f>
        <v>2596</v>
      </c>
      <c r="AM30" s="38">
        <f>ABS('Put you Data'!AM30-calcu!AM81)</f>
        <v>1642</v>
      </c>
      <c r="AN30" s="38">
        <f>ABS('Put you Data'!AN30-calcu!AN81)</f>
        <v>2998</v>
      </c>
      <c r="AO30" s="38">
        <f>ABS('Put you Data'!AO30-calcu!AO81)</f>
        <v>4002</v>
      </c>
      <c r="AP30" s="38">
        <f>ABS('Put you Data'!AP30-calcu!AP81)</f>
        <v>862</v>
      </c>
      <c r="AQ30" s="38">
        <f>ABS('Put you Data'!AQ30-calcu!AQ81)</f>
        <v>181</v>
      </c>
      <c r="AR30" s="38">
        <f>ABS('Put you Data'!AR30-calcu!AR81)</f>
        <v>30</v>
      </c>
      <c r="AS30" s="38">
        <f>ABS('Put you Data'!AS30-calcu!AS81)</f>
        <v>6</v>
      </c>
      <c r="AT30" s="38">
        <f>ABS('Put you Data'!AT30-calcu!AT81)</f>
        <v>0</v>
      </c>
      <c r="AU30" s="38">
        <f>ABS('Put you Data'!AU30-calcu!AU81)</f>
        <v>0</v>
      </c>
    </row>
    <row r="31" spans="1:47" x14ac:dyDescent="0.3">
      <c r="B31" s="40">
        <v>4</v>
      </c>
      <c r="C31" s="38">
        <f>ABS('Put you Data'!C31-calcu!C82)</f>
        <v>1</v>
      </c>
      <c r="D31" s="38">
        <f>ABS('Put you Data'!D31-calcu!D82)</f>
        <v>9</v>
      </c>
      <c r="E31" s="38">
        <f>ABS('Put you Data'!E31-calcu!E82)</f>
        <v>54</v>
      </c>
      <c r="F31" s="38">
        <f>ABS('Put you Data'!F31-calcu!F82)</f>
        <v>87</v>
      </c>
      <c r="G31" s="38">
        <f>ABS('Put you Data'!G31-calcu!G82)</f>
        <v>32</v>
      </c>
      <c r="H31" s="38">
        <f>ABS('Put you Data'!H31-calcu!H82)</f>
        <v>5</v>
      </c>
      <c r="I31" s="38">
        <f>ABS('Put you Data'!I31-calcu!I82)</f>
        <v>9</v>
      </c>
      <c r="J31" s="38">
        <f>ABS('Put you Data'!J31-calcu!J82)</f>
        <v>24</v>
      </c>
      <c r="K31" s="38">
        <f>ABS('Put you Data'!K31-calcu!K82)</f>
        <v>34</v>
      </c>
      <c r="L31" s="38">
        <f>ABS('Put you Data'!L31-calcu!L82)</f>
        <v>22</v>
      </c>
      <c r="M31" s="38">
        <f>ABS('Put you Data'!M31-calcu!M82)</f>
        <v>4</v>
      </c>
      <c r="N31" s="38">
        <f>ABS('Put you Data'!N31-calcu!N82)</f>
        <v>0</v>
      </c>
      <c r="O31" s="38">
        <f>ABS('Put you Data'!O31-calcu!O82)</f>
        <v>0</v>
      </c>
      <c r="P31" s="37"/>
      <c r="R31" s="40">
        <v>4</v>
      </c>
      <c r="S31" s="38">
        <f>ABS('Put you Data'!S31-calcu!S82)</f>
        <v>4</v>
      </c>
      <c r="T31" s="38">
        <f>ABS('Put you Data'!T31-calcu!T82)</f>
        <v>8</v>
      </c>
      <c r="U31" s="38">
        <f>ABS('Put you Data'!U31-calcu!U82)</f>
        <v>11</v>
      </c>
      <c r="V31" s="38">
        <f>ABS('Put you Data'!V31-calcu!V82)</f>
        <v>18</v>
      </c>
      <c r="W31" s="38">
        <f>ABS('Put you Data'!W31-calcu!W82)</f>
        <v>9</v>
      </c>
      <c r="X31" s="38">
        <f>ABS('Put you Data'!X31-calcu!X82)</f>
        <v>3</v>
      </c>
      <c r="Y31" s="38">
        <f>ABS('Put you Data'!Y31-calcu!Y82)</f>
        <v>13</v>
      </c>
      <c r="Z31" s="38">
        <f>ABS('Put you Data'!Z31-calcu!Z82)</f>
        <v>57</v>
      </c>
      <c r="AA31" s="38">
        <f>ABS('Put you Data'!AA31-calcu!AA82)</f>
        <v>65</v>
      </c>
      <c r="AB31" s="38">
        <f>ABS('Put you Data'!AB31-calcu!AB82)</f>
        <v>15</v>
      </c>
      <c r="AC31" s="38">
        <f>ABS('Put you Data'!AC31-calcu!AC82)</f>
        <v>0</v>
      </c>
      <c r="AD31" s="38">
        <f>ABS('Put you Data'!AD31-calcu!AD82)</f>
        <v>0</v>
      </c>
      <c r="AE31" s="38">
        <f>ABS('Put you Data'!AE31-calcu!AE82)</f>
        <v>0</v>
      </c>
      <c r="AF31" s="37"/>
      <c r="AH31" s="40">
        <v>4</v>
      </c>
      <c r="AI31" s="38">
        <f>ABS('Put you Data'!AI31-calcu!AI82)</f>
        <v>14</v>
      </c>
      <c r="AJ31" s="38">
        <f>ABS('Put you Data'!AJ31-calcu!AJ82)</f>
        <v>172</v>
      </c>
      <c r="AK31" s="38">
        <f>ABS('Put you Data'!AK31-calcu!AK82)</f>
        <v>180</v>
      </c>
      <c r="AL31" s="38">
        <f>ABS('Put you Data'!AL31-calcu!AL82)</f>
        <v>1639</v>
      </c>
      <c r="AM31" s="38">
        <f>ABS('Put you Data'!AM31-calcu!AM82)</f>
        <v>1961</v>
      </c>
      <c r="AN31" s="38">
        <f>ABS('Put you Data'!AN31-calcu!AN82)</f>
        <v>3055</v>
      </c>
      <c r="AO31" s="38">
        <f>ABS('Put you Data'!AO31-calcu!AO82)</f>
        <v>838</v>
      </c>
      <c r="AP31" s="38">
        <f>ABS('Put you Data'!AP31-calcu!AP82)</f>
        <v>1489</v>
      </c>
      <c r="AQ31" s="38">
        <f>ABS('Put you Data'!AQ31-calcu!AQ82)</f>
        <v>81</v>
      </c>
      <c r="AR31" s="38">
        <f>ABS('Put you Data'!AR31-calcu!AR82)</f>
        <v>514</v>
      </c>
      <c r="AS31" s="38">
        <f>ABS('Put you Data'!AS31-calcu!AS82)</f>
        <v>184</v>
      </c>
      <c r="AT31" s="38">
        <f>ABS('Put you Data'!AT31-calcu!AT82)</f>
        <v>6</v>
      </c>
      <c r="AU31" s="38">
        <f>ABS('Put you Data'!AU31-calcu!AU82)</f>
        <v>0</v>
      </c>
    </row>
    <row r="32" spans="1:47" x14ac:dyDescent="0.3">
      <c r="B32" s="40">
        <v>5</v>
      </c>
      <c r="C32" s="38">
        <f>ABS('Put you Data'!C32-calcu!C83)</f>
        <v>0</v>
      </c>
      <c r="D32" s="38">
        <f>ABS('Put you Data'!D32-calcu!D83)</f>
        <v>8</v>
      </c>
      <c r="E32" s="38">
        <f>ABS('Put you Data'!E32-calcu!E83)</f>
        <v>53</v>
      </c>
      <c r="F32" s="38">
        <f>ABS('Put you Data'!F32-calcu!F83)</f>
        <v>81</v>
      </c>
      <c r="G32" s="38">
        <f>ABS('Put you Data'!G32-calcu!G83)</f>
        <v>19</v>
      </c>
      <c r="H32" s="38">
        <f>ABS('Put you Data'!H32-calcu!H83)</f>
        <v>1</v>
      </c>
      <c r="I32" s="38">
        <f>ABS('Put you Data'!I32-calcu!I83)</f>
        <v>1</v>
      </c>
      <c r="J32" s="38">
        <f>ABS('Put you Data'!J32-calcu!J83)</f>
        <v>12</v>
      </c>
      <c r="K32" s="38">
        <f>ABS('Put you Data'!K32-calcu!K83)</f>
        <v>60</v>
      </c>
      <c r="L32" s="38">
        <f>ABS('Put you Data'!L32-calcu!L83)</f>
        <v>67</v>
      </c>
      <c r="M32" s="38">
        <f>ABS('Put you Data'!M32-calcu!M83)</f>
        <v>14</v>
      </c>
      <c r="N32" s="38">
        <f>ABS('Put you Data'!N32-calcu!N83)</f>
        <v>0</v>
      </c>
      <c r="O32" s="38">
        <f>ABS('Put you Data'!O32-calcu!O83)</f>
        <v>0</v>
      </c>
      <c r="P32" s="37"/>
      <c r="R32" s="40">
        <v>5</v>
      </c>
      <c r="S32" s="38">
        <f>ABS('Put you Data'!S32-calcu!S83)</f>
        <v>15</v>
      </c>
      <c r="T32" s="38">
        <f>ABS('Put you Data'!T32-calcu!T83)</f>
        <v>22</v>
      </c>
      <c r="U32" s="38">
        <f>ABS('Put you Data'!U32-calcu!U83)</f>
        <v>10</v>
      </c>
      <c r="V32" s="38">
        <f>ABS('Put you Data'!V32-calcu!V83)</f>
        <v>3</v>
      </c>
      <c r="W32" s="38">
        <f>ABS('Put you Data'!W32-calcu!W83)</f>
        <v>1</v>
      </c>
      <c r="X32" s="38">
        <f>ABS('Put you Data'!X32-calcu!X83)</f>
        <v>0</v>
      </c>
      <c r="Y32" s="38">
        <f>ABS('Put you Data'!Y32-calcu!Y83)</f>
        <v>4</v>
      </c>
      <c r="Z32" s="38">
        <f>ABS('Put you Data'!Z32-calcu!Z83)</f>
        <v>14</v>
      </c>
      <c r="AA32" s="38">
        <f>ABS('Put you Data'!AA32-calcu!AA83)</f>
        <v>15</v>
      </c>
      <c r="AB32" s="38">
        <f>ABS('Put you Data'!AB32-calcu!AB83)</f>
        <v>4</v>
      </c>
      <c r="AC32" s="38">
        <f>ABS('Put you Data'!AC32-calcu!AC83)</f>
        <v>1</v>
      </c>
      <c r="AD32" s="38">
        <f>ABS('Put you Data'!AD32-calcu!AD83)</f>
        <v>0</v>
      </c>
      <c r="AE32" s="38">
        <f>ABS('Put you Data'!AE32-calcu!AE83)</f>
        <v>1</v>
      </c>
      <c r="AF32" s="37"/>
      <c r="AH32" s="40">
        <v>5</v>
      </c>
      <c r="AI32" s="38">
        <f>ABS('Put you Data'!AI32-calcu!AI83)</f>
        <v>9</v>
      </c>
      <c r="AJ32" s="38">
        <f>ABS('Put you Data'!AJ32-calcu!AJ83)</f>
        <v>197</v>
      </c>
      <c r="AK32" s="38">
        <f>ABS('Put you Data'!AK32-calcu!AK83)</f>
        <v>616</v>
      </c>
      <c r="AL32" s="38">
        <f>ABS('Put you Data'!AL32-calcu!AL83)</f>
        <v>247</v>
      </c>
      <c r="AM32" s="38">
        <f>ABS('Put you Data'!AM32-calcu!AM83)</f>
        <v>2175</v>
      </c>
      <c r="AN32" s="38">
        <f>ABS('Put you Data'!AN32-calcu!AN83)</f>
        <v>1056</v>
      </c>
      <c r="AO32" s="38">
        <f>ABS('Put you Data'!AO32-calcu!AO83)</f>
        <v>2</v>
      </c>
      <c r="AP32" s="38">
        <f>ABS('Put you Data'!AP32-calcu!AP83)</f>
        <v>457</v>
      </c>
      <c r="AQ32" s="38">
        <f>ABS('Put you Data'!AQ32-calcu!AQ83)</f>
        <v>594</v>
      </c>
      <c r="AR32" s="38">
        <f>ABS('Put you Data'!AR32-calcu!AR83)</f>
        <v>2232</v>
      </c>
      <c r="AS32" s="38">
        <f>ABS('Put you Data'!AS32-calcu!AS83)</f>
        <v>663</v>
      </c>
      <c r="AT32" s="38">
        <f>ABS('Put you Data'!AT32-calcu!AT83)</f>
        <v>27</v>
      </c>
      <c r="AU32" s="38">
        <f>ABS('Put you Data'!AU32-calcu!AU83)</f>
        <v>0</v>
      </c>
    </row>
    <row r="33" spans="1:49" x14ac:dyDescent="0.3">
      <c r="B33" s="40">
        <v>6</v>
      </c>
      <c r="C33" s="38">
        <f>ABS('Put you Data'!C33-calcu!C84)</f>
        <v>1</v>
      </c>
      <c r="D33" s="38">
        <f>ABS('Put you Data'!D33-calcu!D84)</f>
        <v>15</v>
      </c>
      <c r="E33" s="38">
        <f>ABS('Put you Data'!E33-calcu!E84)</f>
        <v>77</v>
      </c>
      <c r="F33" s="38">
        <f>ABS('Put you Data'!F33-calcu!F84)</f>
        <v>88</v>
      </c>
      <c r="G33" s="38">
        <f>ABS('Put you Data'!G33-calcu!G84)</f>
        <v>19</v>
      </c>
      <c r="H33" s="38">
        <f>ABS('Put you Data'!H33-calcu!H84)</f>
        <v>1</v>
      </c>
      <c r="I33" s="38">
        <f>ABS('Put you Data'!I33-calcu!I84)</f>
        <v>1</v>
      </c>
      <c r="J33" s="38">
        <f>ABS('Put you Data'!J33-calcu!J84)</f>
        <v>11</v>
      </c>
      <c r="K33" s="38">
        <f>ABS('Put you Data'!K33-calcu!K84)</f>
        <v>48</v>
      </c>
      <c r="L33" s="38">
        <f>ABS('Put you Data'!L33-calcu!L84)</f>
        <v>49</v>
      </c>
      <c r="M33" s="38">
        <f>ABS('Put you Data'!M33-calcu!M84)</f>
        <v>11</v>
      </c>
      <c r="N33" s="38">
        <f>ABS('Put you Data'!N33-calcu!N84)</f>
        <v>1</v>
      </c>
      <c r="O33" s="38">
        <f>ABS('Put you Data'!O33-calcu!O84)</f>
        <v>1</v>
      </c>
      <c r="P33" s="37"/>
      <c r="R33" s="40">
        <v>6</v>
      </c>
      <c r="S33" s="38">
        <f>ABS('Put you Data'!S33-calcu!S84)</f>
        <v>4</v>
      </c>
      <c r="T33" s="38">
        <f>ABS('Put you Data'!T33-calcu!T84)</f>
        <v>6</v>
      </c>
      <c r="U33" s="38">
        <f>ABS('Put you Data'!U33-calcu!U84)</f>
        <v>3</v>
      </c>
      <c r="V33" s="38">
        <f>ABS('Put you Data'!V33-calcu!V84)</f>
        <v>0</v>
      </c>
      <c r="W33" s="38">
        <f>ABS('Put you Data'!W33-calcu!W84)</f>
        <v>0</v>
      </c>
      <c r="X33" s="38">
        <f>ABS('Put you Data'!X33-calcu!X84)</f>
        <v>0</v>
      </c>
      <c r="Y33" s="38">
        <f>ABS('Put you Data'!Y33-calcu!Y84)</f>
        <v>0</v>
      </c>
      <c r="Z33" s="38">
        <f>ABS('Put you Data'!Z33-calcu!Z84)</f>
        <v>0</v>
      </c>
      <c r="AA33" s="38">
        <f>ABS('Put you Data'!AA33-calcu!AA84)</f>
        <v>1</v>
      </c>
      <c r="AB33" s="38">
        <f>ABS('Put you Data'!AB33-calcu!AB84)</f>
        <v>1</v>
      </c>
      <c r="AC33" s="38">
        <f>ABS('Put you Data'!AC33-calcu!AC84)</f>
        <v>1</v>
      </c>
      <c r="AD33" s="38">
        <f>ABS('Put you Data'!AD33-calcu!AD84)</f>
        <v>1</v>
      </c>
      <c r="AE33" s="38">
        <f>ABS('Put you Data'!AE33-calcu!AE84)</f>
        <v>2</v>
      </c>
      <c r="AF33" s="37"/>
      <c r="AH33" s="40">
        <v>6</v>
      </c>
      <c r="AI33" s="38">
        <f>ABS('Put you Data'!AI33-calcu!AI84)</f>
        <v>13</v>
      </c>
      <c r="AJ33" s="38">
        <f>ABS('Put you Data'!AJ33-calcu!AJ84)</f>
        <v>26</v>
      </c>
      <c r="AK33" s="38">
        <f>ABS('Put you Data'!AK33-calcu!AK84)</f>
        <v>56</v>
      </c>
      <c r="AL33" s="38">
        <f>ABS('Put you Data'!AL33-calcu!AL84)</f>
        <v>722</v>
      </c>
      <c r="AM33" s="38">
        <f>ABS('Put you Data'!AM33-calcu!AM84)</f>
        <v>248</v>
      </c>
      <c r="AN33" s="38">
        <f>ABS('Put you Data'!AN33-calcu!AN84)</f>
        <v>117</v>
      </c>
      <c r="AO33" s="38">
        <f>ABS('Put you Data'!AO33-calcu!AO84)</f>
        <v>0</v>
      </c>
      <c r="AP33" s="38">
        <f>ABS('Put you Data'!AP33-calcu!AP84)</f>
        <v>4</v>
      </c>
      <c r="AQ33" s="38">
        <f>ABS('Put you Data'!AQ33-calcu!AQ84)</f>
        <v>115</v>
      </c>
      <c r="AR33" s="38">
        <f>ABS('Put you Data'!AR33-calcu!AR84)</f>
        <v>568</v>
      </c>
      <c r="AS33" s="38">
        <f>ABS('Put you Data'!AS33-calcu!AS84)</f>
        <v>233</v>
      </c>
      <c r="AT33" s="38">
        <f>ABS('Put you Data'!AT33-calcu!AT84)</f>
        <v>24</v>
      </c>
      <c r="AU33" s="38">
        <f>ABS('Put you Data'!AU33-calcu!AU84)</f>
        <v>1</v>
      </c>
    </row>
    <row r="34" spans="1:49" x14ac:dyDescent="0.3">
      <c r="B34" s="40">
        <v>7</v>
      </c>
      <c r="C34" s="38">
        <f>ABS('Put you Data'!C34-calcu!C85)</f>
        <v>1</v>
      </c>
      <c r="D34" s="38">
        <f>ABS('Put you Data'!D34-calcu!D85)</f>
        <v>26</v>
      </c>
      <c r="E34" s="38">
        <f>ABS('Put you Data'!E34-calcu!E85)</f>
        <v>124</v>
      </c>
      <c r="F34" s="38">
        <f>ABS('Put you Data'!F34-calcu!F85)</f>
        <v>116</v>
      </c>
      <c r="G34" s="38">
        <f>ABS('Put you Data'!G34-calcu!G85)</f>
        <v>23</v>
      </c>
      <c r="H34" s="38">
        <f>ABS('Put you Data'!H34-calcu!H85)</f>
        <v>0</v>
      </c>
      <c r="I34" s="38">
        <f>ABS('Put you Data'!I34-calcu!I85)</f>
        <v>1</v>
      </c>
      <c r="J34" s="38">
        <f>ABS('Put you Data'!J34-calcu!J85)</f>
        <v>6</v>
      </c>
      <c r="K34" s="38">
        <f>ABS('Put you Data'!K34-calcu!K85)</f>
        <v>23</v>
      </c>
      <c r="L34" s="38">
        <f>ABS('Put you Data'!L34-calcu!L85)</f>
        <v>25</v>
      </c>
      <c r="M34" s="38">
        <f>ABS('Put you Data'!M34-calcu!M85)</f>
        <v>5</v>
      </c>
      <c r="N34" s="38">
        <f>ABS('Put you Data'!N34-calcu!N85)</f>
        <v>1</v>
      </c>
      <c r="O34" s="38">
        <f>ABS('Put you Data'!O34-calcu!O85)</f>
        <v>1</v>
      </c>
      <c r="P34" s="37"/>
      <c r="R34" s="40">
        <v>7</v>
      </c>
      <c r="S34" s="38">
        <f>ABS('Put you Data'!S34-calcu!S85)</f>
        <v>1</v>
      </c>
      <c r="T34" s="38">
        <f>ABS('Put you Data'!T34-calcu!T85)</f>
        <v>1</v>
      </c>
      <c r="U34" s="38">
        <f>ABS('Put you Data'!U34-calcu!U85)</f>
        <v>0</v>
      </c>
      <c r="V34" s="38">
        <f>ABS('Put you Data'!V34-calcu!V85)</f>
        <v>1</v>
      </c>
      <c r="W34" s="38">
        <f>ABS('Put you Data'!W34-calcu!W85)</f>
        <v>1</v>
      </c>
      <c r="X34" s="38">
        <f>ABS('Put you Data'!X34-calcu!X85)</f>
        <v>1</v>
      </c>
      <c r="Y34" s="38">
        <f>ABS('Put you Data'!Y34-calcu!Y85)</f>
        <v>1</v>
      </c>
      <c r="Z34" s="38">
        <f>ABS('Put you Data'!Z34-calcu!Z85)</f>
        <v>1</v>
      </c>
      <c r="AA34" s="38">
        <f>ABS('Put you Data'!AA34-calcu!AA85)</f>
        <v>1</v>
      </c>
      <c r="AB34" s="38">
        <f>ABS('Put you Data'!AB34-calcu!AB85)</f>
        <v>1</v>
      </c>
      <c r="AC34" s="38">
        <f>ABS('Put you Data'!AC34-calcu!AC85)</f>
        <v>1</v>
      </c>
      <c r="AD34" s="38">
        <f>ABS('Put you Data'!AD34-calcu!AD85)</f>
        <v>0</v>
      </c>
      <c r="AE34" s="38">
        <f>ABS('Put you Data'!AE34-calcu!AE85)</f>
        <v>1</v>
      </c>
      <c r="AF34" s="37"/>
      <c r="AH34" s="40">
        <v>7</v>
      </c>
      <c r="AI34" s="38">
        <f>ABS('Put you Data'!AI34-calcu!AI85)</f>
        <v>3</v>
      </c>
      <c r="AJ34" s="38">
        <f>ABS('Put you Data'!AJ34-calcu!AJ85)</f>
        <v>4</v>
      </c>
      <c r="AK34" s="38">
        <f>ABS('Put you Data'!AK34-calcu!AK85)</f>
        <v>50</v>
      </c>
      <c r="AL34" s="38">
        <f>ABS('Put you Data'!AL34-calcu!AL85)</f>
        <v>176</v>
      </c>
      <c r="AM34" s="38">
        <f>ABS('Put you Data'!AM34-calcu!AM85)</f>
        <v>8</v>
      </c>
      <c r="AN34" s="38">
        <f>ABS('Put you Data'!AN34-calcu!AN85)</f>
        <v>9</v>
      </c>
      <c r="AO34" s="38">
        <f>ABS('Put you Data'!AO34-calcu!AO85)</f>
        <v>1</v>
      </c>
      <c r="AP34" s="38">
        <f>ABS('Put you Data'!AP34-calcu!AP85)</f>
        <v>1</v>
      </c>
      <c r="AQ34" s="38">
        <f>ABS('Put you Data'!AQ34-calcu!AQ85)</f>
        <v>0</v>
      </c>
      <c r="AR34" s="38">
        <f>ABS('Put you Data'!AR34-calcu!AR85)</f>
        <v>11</v>
      </c>
      <c r="AS34" s="38">
        <f>ABS('Put you Data'!AS34-calcu!AS85)</f>
        <v>40</v>
      </c>
      <c r="AT34" s="38">
        <f>ABS('Put you Data'!AT34-calcu!AT85)</f>
        <v>11</v>
      </c>
      <c r="AU34" s="38">
        <f>ABS('Put you Data'!AU34-calcu!AU85)</f>
        <v>1</v>
      </c>
    </row>
    <row r="35" spans="1:49" x14ac:dyDescent="0.3">
      <c r="B35" s="40">
        <v>8</v>
      </c>
      <c r="C35" s="38">
        <f>ABS('Put you Data'!C35-calcu!C86)</f>
        <v>1</v>
      </c>
      <c r="D35" s="38">
        <f>ABS('Put you Data'!D35-calcu!D86)</f>
        <v>26</v>
      </c>
      <c r="E35" s="38">
        <f>ABS('Put you Data'!E35-calcu!E86)</f>
        <v>121</v>
      </c>
      <c r="F35" s="38">
        <f>ABS('Put you Data'!F35-calcu!F86)</f>
        <v>93</v>
      </c>
      <c r="G35" s="38">
        <f>ABS('Put you Data'!G35-calcu!G86)</f>
        <v>17</v>
      </c>
      <c r="H35" s="38">
        <f>ABS('Put you Data'!H35-calcu!H86)</f>
        <v>0</v>
      </c>
      <c r="I35" s="38">
        <f>ABS('Put you Data'!I35-calcu!I86)</f>
        <v>1</v>
      </c>
      <c r="J35" s="38">
        <f>ABS('Put you Data'!J35-calcu!J86)</f>
        <v>13</v>
      </c>
      <c r="K35" s="38">
        <f>ABS('Put you Data'!K35-calcu!K86)</f>
        <v>59</v>
      </c>
      <c r="L35" s="38">
        <f>ABS('Put you Data'!L35-calcu!L86)</f>
        <v>52</v>
      </c>
      <c r="M35" s="38">
        <f>ABS('Put you Data'!M35-calcu!M86)</f>
        <v>10</v>
      </c>
      <c r="N35" s="38">
        <f>ABS('Put you Data'!N35-calcu!N86)</f>
        <v>1</v>
      </c>
      <c r="O35" s="38">
        <f>ABS('Put you Data'!O35-calcu!O86)</f>
        <v>0</v>
      </c>
      <c r="P35" s="37"/>
      <c r="R35" s="40">
        <v>8</v>
      </c>
      <c r="S35" s="38">
        <f>ABS('Put you Data'!S35-calcu!S86)</f>
        <v>0</v>
      </c>
      <c r="T35" s="38">
        <f>ABS('Put you Data'!T35-calcu!T86)</f>
        <v>0</v>
      </c>
      <c r="U35" s="38">
        <f>ABS('Put you Data'!U35-calcu!U86)</f>
        <v>2</v>
      </c>
      <c r="V35" s="38">
        <f>ABS('Put you Data'!V35-calcu!V86)</f>
        <v>11</v>
      </c>
      <c r="W35" s="38">
        <f>ABS('Put you Data'!W35-calcu!W86)</f>
        <v>19</v>
      </c>
      <c r="X35" s="38">
        <f>ABS('Put you Data'!X35-calcu!X86)</f>
        <v>20</v>
      </c>
      <c r="Y35" s="38">
        <f>ABS('Put you Data'!Y35-calcu!Y86)</f>
        <v>13</v>
      </c>
      <c r="Z35" s="38">
        <f>ABS('Put you Data'!Z35-calcu!Z86)</f>
        <v>6</v>
      </c>
      <c r="AA35" s="38">
        <f>ABS('Put you Data'!AA35-calcu!AA86)</f>
        <v>13</v>
      </c>
      <c r="AB35" s="38">
        <f>ABS('Put you Data'!AB35-calcu!AB86)</f>
        <v>3</v>
      </c>
      <c r="AC35" s="38">
        <f>ABS('Put you Data'!AC35-calcu!AC86)</f>
        <v>1</v>
      </c>
      <c r="AD35" s="38">
        <f>ABS('Put you Data'!AD35-calcu!AD86)</f>
        <v>0</v>
      </c>
      <c r="AE35" s="38">
        <f>ABS('Put you Data'!AE35-calcu!AE86)</f>
        <v>0</v>
      </c>
      <c r="AF35" s="37"/>
      <c r="AH35" s="40">
        <v>8</v>
      </c>
      <c r="AI35" s="38">
        <f>ABS('Put you Data'!AI35-calcu!AI86)</f>
        <v>0</v>
      </c>
      <c r="AJ35" s="38">
        <f>ABS('Put you Data'!AJ35-calcu!AJ86)</f>
        <v>5</v>
      </c>
      <c r="AK35" s="38">
        <f>ABS('Put you Data'!AK35-calcu!AK86)</f>
        <v>174</v>
      </c>
      <c r="AL35" s="38">
        <f>ABS('Put you Data'!AL35-calcu!AL86)</f>
        <v>627</v>
      </c>
      <c r="AM35" s="38">
        <f>ABS('Put you Data'!AM35-calcu!AM86)</f>
        <v>164</v>
      </c>
      <c r="AN35" s="38">
        <f>ABS('Put you Data'!AN35-calcu!AN86)</f>
        <v>2</v>
      </c>
      <c r="AO35" s="38">
        <f>ABS('Put you Data'!AO35-calcu!AO86)</f>
        <v>1</v>
      </c>
      <c r="AP35" s="38">
        <f>ABS('Put you Data'!AP35-calcu!AP86)</f>
        <v>143</v>
      </c>
      <c r="AQ35" s="38">
        <f>ABS('Put you Data'!AQ35-calcu!AQ86)</f>
        <v>582</v>
      </c>
      <c r="AR35" s="38">
        <f>ABS('Put you Data'!AR35-calcu!AR86)</f>
        <v>160</v>
      </c>
      <c r="AS35" s="38">
        <f>ABS('Put you Data'!AS35-calcu!AS86)</f>
        <v>18</v>
      </c>
      <c r="AT35" s="38">
        <f>ABS('Put you Data'!AT35-calcu!AT86)</f>
        <v>6</v>
      </c>
      <c r="AU35" s="38">
        <f>ABS('Put you Data'!AU35-calcu!AU86)</f>
        <v>0</v>
      </c>
    </row>
    <row r="36" spans="1:49" x14ac:dyDescent="0.3">
      <c r="B36" s="40">
        <v>9</v>
      </c>
      <c r="C36" s="38">
        <f>ABS('Put you Data'!C36-calcu!C87)</f>
        <v>2</v>
      </c>
      <c r="D36" s="38">
        <f>ABS('Put you Data'!D36-calcu!D87)</f>
        <v>16</v>
      </c>
      <c r="E36" s="38">
        <f>ABS('Put you Data'!E36-calcu!E87)</f>
        <v>71</v>
      </c>
      <c r="F36" s="38">
        <f>ABS('Put you Data'!F36-calcu!F87)</f>
        <v>58</v>
      </c>
      <c r="G36" s="38">
        <f>ABS('Put you Data'!G36-calcu!G87)</f>
        <v>11</v>
      </c>
      <c r="H36" s="38">
        <f>ABS('Put you Data'!H36-calcu!H87)</f>
        <v>1</v>
      </c>
      <c r="I36" s="38">
        <f>ABS('Put you Data'!I36-calcu!I87)</f>
        <v>1</v>
      </c>
      <c r="J36" s="38">
        <f>ABS('Put you Data'!J36-calcu!J87)</f>
        <v>10</v>
      </c>
      <c r="K36" s="38">
        <f>ABS('Put you Data'!K36-calcu!K87)</f>
        <v>47</v>
      </c>
      <c r="L36" s="38">
        <f>ABS('Put you Data'!L36-calcu!L87)</f>
        <v>50</v>
      </c>
      <c r="M36" s="38">
        <f>ABS('Put you Data'!M36-calcu!M87)</f>
        <v>11</v>
      </c>
      <c r="N36" s="38">
        <f>ABS('Put you Data'!N36-calcu!N87)</f>
        <v>1</v>
      </c>
      <c r="O36" s="38">
        <f>ABS('Put you Data'!O36-calcu!O87)</f>
        <v>0</v>
      </c>
      <c r="P36" s="37"/>
      <c r="R36" s="40">
        <v>9</v>
      </c>
      <c r="S36" s="38">
        <f>ABS('Put you Data'!S36-calcu!S87)</f>
        <v>0</v>
      </c>
      <c r="T36" s="38">
        <f>ABS('Put you Data'!T36-calcu!T87)</f>
        <v>1</v>
      </c>
      <c r="U36" s="38">
        <f>ABS('Put you Data'!U36-calcu!U87)</f>
        <v>12</v>
      </c>
      <c r="V36" s="38">
        <f>ABS('Put you Data'!V36-calcu!V87)</f>
        <v>53</v>
      </c>
      <c r="W36" s="38">
        <f>ABS('Put you Data'!W36-calcu!W87)</f>
        <v>87</v>
      </c>
      <c r="X36" s="38">
        <f>ABS('Put you Data'!X36-calcu!X87)</f>
        <v>86</v>
      </c>
      <c r="Y36" s="38">
        <f>ABS('Put you Data'!Y36-calcu!Y87)</f>
        <v>59</v>
      </c>
      <c r="Z36" s="38">
        <f>ABS('Put you Data'!Z36-calcu!Z87)</f>
        <v>30</v>
      </c>
      <c r="AA36" s="38">
        <f>ABS('Put you Data'!AA36-calcu!AA87)</f>
        <v>53</v>
      </c>
      <c r="AB36" s="38">
        <f>ABS('Put you Data'!AB36-calcu!AB87)</f>
        <v>14</v>
      </c>
      <c r="AC36" s="38">
        <f>ABS('Put you Data'!AC36-calcu!AC87)</f>
        <v>0</v>
      </c>
      <c r="AD36" s="38">
        <f>ABS('Put you Data'!AD36-calcu!AD87)</f>
        <v>0</v>
      </c>
      <c r="AE36" s="38">
        <f>ABS('Put you Data'!AE36-calcu!AE87)</f>
        <v>0</v>
      </c>
      <c r="AF36" s="37"/>
      <c r="AH36" s="40">
        <v>9</v>
      </c>
      <c r="AI36" s="38">
        <f>ABS('Put you Data'!AI36-calcu!AI87)</f>
        <v>1</v>
      </c>
      <c r="AJ36" s="38">
        <f>ABS('Put you Data'!AJ36-calcu!AJ87)</f>
        <v>5</v>
      </c>
      <c r="AK36" s="38">
        <f>ABS('Put you Data'!AK36-calcu!AK87)</f>
        <v>636</v>
      </c>
      <c r="AL36" s="38">
        <f>ABS('Put you Data'!AL36-calcu!AL87)</f>
        <v>2361</v>
      </c>
      <c r="AM36" s="38">
        <f>ABS('Put you Data'!AM36-calcu!AM87)</f>
        <v>127</v>
      </c>
      <c r="AN36" s="38">
        <f>ABS('Put you Data'!AN36-calcu!AN87)</f>
        <v>133</v>
      </c>
      <c r="AO36" s="38">
        <f>ABS('Put you Data'!AO36-calcu!AO87)</f>
        <v>3</v>
      </c>
      <c r="AP36" s="38">
        <f>ABS('Put you Data'!AP36-calcu!AP87)</f>
        <v>577</v>
      </c>
      <c r="AQ36" s="38">
        <f>ABS('Put you Data'!AQ36-calcu!AQ87)</f>
        <v>2232</v>
      </c>
      <c r="AR36" s="38">
        <f>ABS('Put you Data'!AR36-calcu!AR87)</f>
        <v>257</v>
      </c>
      <c r="AS36" s="38">
        <f>ABS('Put you Data'!AS36-calcu!AS87)</f>
        <v>94</v>
      </c>
      <c r="AT36" s="38">
        <f>ABS('Put you Data'!AT36-calcu!AT87)</f>
        <v>4</v>
      </c>
      <c r="AU36" s="38">
        <f>ABS('Put you Data'!AU36-calcu!AU87)</f>
        <v>1</v>
      </c>
    </row>
    <row r="37" spans="1:49" x14ac:dyDescent="0.3">
      <c r="B37" s="40">
        <v>10</v>
      </c>
      <c r="C37" s="38">
        <f>ABS('Put you Data'!C37-calcu!C88)</f>
        <v>1</v>
      </c>
      <c r="D37" s="38">
        <f>ABS('Put you Data'!D37-calcu!D88)</f>
        <v>3</v>
      </c>
      <c r="E37" s="38">
        <f>ABS('Put you Data'!E37-calcu!E88)</f>
        <v>15</v>
      </c>
      <c r="F37" s="38">
        <f>ABS('Put you Data'!F37-calcu!F88)</f>
        <v>15</v>
      </c>
      <c r="G37" s="38">
        <f>ABS('Put you Data'!G37-calcu!G88)</f>
        <v>3</v>
      </c>
      <c r="H37" s="38">
        <f>ABS('Put you Data'!H37-calcu!H88)</f>
        <v>0</v>
      </c>
      <c r="I37" s="38">
        <f>ABS('Put you Data'!I37-calcu!I88)</f>
        <v>0</v>
      </c>
      <c r="J37" s="38">
        <f>ABS('Put you Data'!J37-calcu!J88)</f>
        <v>2</v>
      </c>
      <c r="K37" s="38">
        <f>ABS('Put you Data'!K37-calcu!K88)</f>
        <v>11</v>
      </c>
      <c r="L37" s="38">
        <f>ABS('Put you Data'!L37-calcu!L88)</f>
        <v>14</v>
      </c>
      <c r="M37" s="38">
        <f>ABS('Put you Data'!M37-calcu!M88)</f>
        <v>3</v>
      </c>
      <c r="N37" s="38">
        <f>ABS('Put you Data'!N37-calcu!N88)</f>
        <v>1</v>
      </c>
      <c r="O37" s="38">
        <f>ABS('Put you Data'!O37-calcu!O88)</f>
        <v>0</v>
      </c>
      <c r="P37" s="37"/>
      <c r="R37" s="40">
        <v>10</v>
      </c>
      <c r="S37" s="38">
        <f>ABS('Put you Data'!S37-calcu!S88)</f>
        <v>1</v>
      </c>
      <c r="T37" s="38">
        <f>ABS('Put you Data'!T37-calcu!T88)</f>
        <v>4</v>
      </c>
      <c r="U37" s="38">
        <f>ABS('Put you Data'!U37-calcu!U88)</f>
        <v>23</v>
      </c>
      <c r="V37" s="38">
        <f>ABS('Put you Data'!V37-calcu!V88)</f>
        <v>67</v>
      </c>
      <c r="W37" s="38">
        <f>ABS('Put you Data'!W37-calcu!W88)</f>
        <v>68</v>
      </c>
      <c r="X37" s="38">
        <f>ABS('Put you Data'!X37-calcu!X88)</f>
        <v>62</v>
      </c>
      <c r="Y37" s="38">
        <f>ABS('Put you Data'!Y37-calcu!Y88)</f>
        <v>50</v>
      </c>
      <c r="Z37" s="38">
        <f>ABS('Put you Data'!Z37-calcu!Z88)</f>
        <v>44</v>
      </c>
      <c r="AA37" s="38">
        <f>ABS('Put you Data'!AA37-calcu!AA88)</f>
        <v>44</v>
      </c>
      <c r="AB37" s="38">
        <f>ABS('Put you Data'!AB37-calcu!AB88)</f>
        <v>10</v>
      </c>
      <c r="AC37" s="38">
        <f>ABS('Put you Data'!AC37-calcu!AC88)</f>
        <v>1</v>
      </c>
      <c r="AD37" s="38">
        <f>ABS('Put you Data'!AD37-calcu!AD88)</f>
        <v>0</v>
      </c>
      <c r="AE37" s="38">
        <f>ABS('Put you Data'!AE37-calcu!AE88)</f>
        <v>1</v>
      </c>
      <c r="AF37" s="37"/>
      <c r="AH37" s="40">
        <v>10</v>
      </c>
      <c r="AI37" s="38">
        <f>ABS('Put you Data'!AI37-calcu!AI88)</f>
        <v>16</v>
      </c>
      <c r="AJ37" s="38">
        <f>ABS('Put you Data'!AJ37-calcu!AJ88)</f>
        <v>130</v>
      </c>
      <c r="AK37" s="38">
        <f>ABS('Put you Data'!AK37-calcu!AK88)</f>
        <v>26</v>
      </c>
      <c r="AL37" s="38">
        <f>ABS('Put you Data'!AL37-calcu!AL88)</f>
        <v>640</v>
      </c>
      <c r="AM37" s="38">
        <f>ABS('Put you Data'!AM37-calcu!AM88)</f>
        <v>1852</v>
      </c>
      <c r="AN37" s="38">
        <f>ABS('Put you Data'!AN37-calcu!AN88)</f>
        <v>597</v>
      </c>
      <c r="AO37" s="38">
        <f>ABS('Put you Data'!AO37-calcu!AO88)</f>
        <v>22</v>
      </c>
      <c r="AP37" s="38">
        <f>ABS('Put you Data'!AP37-calcu!AP88)</f>
        <v>275</v>
      </c>
      <c r="AQ37" s="38">
        <f>ABS('Put you Data'!AQ37-calcu!AQ88)</f>
        <v>684</v>
      </c>
      <c r="AR37" s="38">
        <f>ABS('Put you Data'!AR37-calcu!AR88)</f>
        <v>1373</v>
      </c>
      <c r="AS37" s="38">
        <f>ABS('Put you Data'!AS37-calcu!AS88)</f>
        <v>442</v>
      </c>
      <c r="AT37" s="38">
        <f>ABS('Put you Data'!AT37-calcu!AT88)</f>
        <v>8</v>
      </c>
      <c r="AU37" s="38">
        <f>ABS('Put you Data'!AU37-calcu!AU88)</f>
        <v>0</v>
      </c>
    </row>
    <row r="38" spans="1:49" x14ac:dyDescent="0.3">
      <c r="B38" s="40">
        <v>11</v>
      </c>
      <c r="C38" s="38">
        <f>ABS('Put you Data'!C38-calcu!C89)</f>
        <v>6</v>
      </c>
      <c r="D38" s="38">
        <f>ABS('Put you Data'!D38-calcu!D89)</f>
        <v>5</v>
      </c>
      <c r="E38" s="38">
        <f>ABS('Put you Data'!E38-calcu!E89)</f>
        <v>2</v>
      </c>
      <c r="F38" s="38">
        <f>ABS('Put you Data'!F38-calcu!F89)</f>
        <v>2</v>
      </c>
      <c r="G38" s="38">
        <f>ABS('Put you Data'!G38-calcu!G89)</f>
        <v>0</v>
      </c>
      <c r="H38" s="38">
        <f>ABS('Put you Data'!H38-calcu!H89)</f>
        <v>0</v>
      </c>
      <c r="I38" s="38">
        <f>ABS('Put you Data'!I38-calcu!I89)</f>
        <v>1</v>
      </c>
      <c r="J38" s="38">
        <f>ABS('Put you Data'!J38-calcu!J89)</f>
        <v>2</v>
      </c>
      <c r="K38" s="38">
        <f>ABS('Put you Data'!K38-calcu!K89)</f>
        <v>6</v>
      </c>
      <c r="L38" s="38">
        <f>ABS('Put you Data'!L38-calcu!L89)</f>
        <v>9</v>
      </c>
      <c r="M38" s="38">
        <f>ABS('Put you Data'!M38-calcu!M89)</f>
        <v>3</v>
      </c>
      <c r="N38" s="38">
        <f>ABS('Put you Data'!N38-calcu!N89)</f>
        <v>0</v>
      </c>
      <c r="O38" s="38">
        <f>ABS('Put you Data'!O38-calcu!O89)</f>
        <v>0</v>
      </c>
      <c r="P38" s="37"/>
      <c r="R38" s="40">
        <v>11</v>
      </c>
      <c r="S38" s="38">
        <f>ABS('Put you Data'!S38-calcu!S89)</f>
        <v>3</v>
      </c>
      <c r="T38" s="38">
        <f>ABS('Put you Data'!T38-calcu!T89)</f>
        <v>14</v>
      </c>
      <c r="U38" s="38">
        <f>ABS('Put you Data'!U38-calcu!U89)</f>
        <v>21</v>
      </c>
      <c r="V38" s="38">
        <f>ABS('Put you Data'!V38-calcu!V89)</f>
        <v>19</v>
      </c>
      <c r="W38" s="38">
        <f>ABS('Put you Data'!W38-calcu!W89)</f>
        <v>13</v>
      </c>
      <c r="X38" s="38">
        <f>ABS('Put you Data'!X38-calcu!X89)</f>
        <v>12</v>
      </c>
      <c r="Y38" s="38">
        <f>ABS('Put you Data'!Y38-calcu!Y89)</f>
        <v>10</v>
      </c>
      <c r="Z38" s="38">
        <f>ABS('Put you Data'!Z38-calcu!Z89)</f>
        <v>10</v>
      </c>
      <c r="AA38" s="38">
        <f>ABS('Put you Data'!AA38-calcu!AA89)</f>
        <v>8</v>
      </c>
      <c r="AB38" s="38">
        <f>ABS('Put you Data'!AB38-calcu!AB89)</f>
        <v>2</v>
      </c>
      <c r="AC38" s="38">
        <f>ABS('Put you Data'!AC38-calcu!AC89)</f>
        <v>0</v>
      </c>
      <c r="AD38" s="38">
        <f>ABS('Put you Data'!AD38-calcu!AD89)</f>
        <v>0</v>
      </c>
      <c r="AE38" s="38">
        <f>ABS('Put you Data'!AE38-calcu!AE89)</f>
        <v>0</v>
      </c>
      <c r="AF38" s="37"/>
      <c r="AH38" s="40">
        <v>11</v>
      </c>
      <c r="AI38" s="38">
        <f>ABS('Put you Data'!AI38-calcu!AI89)</f>
        <v>86</v>
      </c>
      <c r="AJ38" s="38">
        <f>ABS('Put you Data'!AJ38-calcu!AJ89)</f>
        <v>396</v>
      </c>
      <c r="AK38" s="38">
        <f>ABS('Put you Data'!AK38-calcu!AK89)</f>
        <v>197</v>
      </c>
      <c r="AL38" s="38">
        <f>ABS('Put you Data'!AL38-calcu!AL89)</f>
        <v>318</v>
      </c>
      <c r="AM38" s="38">
        <f>ABS('Put you Data'!AM38-calcu!AM89)</f>
        <v>1101</v>
      </c>
      <c r="AN38" s="38">
        <f>ABS('Put you Data'!AN38-calcu!AN89)</f>
        <v>382</v>
      </c>
      <c r="AO38" s="38">
        <f>ABS('Put you Data'!AO38-calcu!AO89)</f>
        <v>40</v>
      </c>
      <c r="AP38" s="38">
        <f>ABS('Put you Data'!AP38-calcu!AP89)</f>
        <v>47</v>
      </c>
      <c r="AQ38" s="38">
        <f>ABS('Put you Data'!AQ38-calcu!AQ89)</f>
        <v>40</v>
      </c>
      <c r="AR38" s="38">
        <f>ABS('Put you Data'!AR38-calcu!AR89)</f>
        <v>777</v>
      </c>
      <c r="AS38" s="38">
        <f>ABS('Put you Data'!AS38-calcu!AS89)</f>
        <v>226</v>
      </c>
      <c r="AT38" s="38">
        <f>ABS('Put you Data'!AT38-calcu!AT89)</f>
        <v>6</v>
      </c>
      <c r="AU38" s="38">
        <f>ABS('Put you Data'!AU38-calcu!AU89)</f>
        <v>0</v>
      </c>
    </row>
    <row r="39" spans="1:49" x14ac:dyDescent="0.3">
      <c r="B39" s="40">
        <v>12</v>
      </c>
      <c r="C39" s="38">
        <f>ABS('Put you Data'!C39-calcu!C90)</f>
        <v>24</v>
      </c>
      <c r="D39" s="38">
        <f>ABS('Put you Data'!D39-calcu!D90)</f>
        <v>17</v>
      </c>
      <c r="E39" s="38">
        <f>ABS('Put you Data'!E39-calcu!E90)</f>
        <v>4</v>
      </c>
      <c r="F39" s="38">
        <f>ABS('Put you Data'!F39-calcu!F90)</f>
        <v>1</v>
      </c>
      <c r="G39" s="38">
        <f>ABS('Put you Data'!G39-calcu!G90)</f>
        <v>1</v>
      </c>
      <c r="H39" s="38">
        <f>ABS('Put you Data'!H39-calcu!H90)</f>
        <v>1</v>
      </c>
      <c r="I39" s="38">
        <f>ABS('Put you Data'!I39-calcu!I90)</f>
        <v>0</v>
      </c>
      <c r="J39" s="38">
        <f>ABS('Put you Data'!J39-calcu!J90)</f>
        <v>3</v>
      </c>
      <c r="K39" s="38">
        <f>ABS('Put you Data'!K39-calcu!K90)</f>
        <v>10</v>
      </c>
      <c r="L39" s="38">
        <f>ABS('Put you Data'!L39-calcu!L90)</f>
        <v>11</v>
      </c>
      <c r="M39" s="38">
        <f>ABS('Put you Data'!M39-calcu!M90)</f>
        <v>3</v>
      </c>
      <c r="N39" s="38">
        <f>ABS('Put you Data'!N39-calcu!N90)</f>
        <v>0</v>
      </c>
      <c r="O39" s="38">
        <f>ABS('Put you Data'!O39-calcu!O90)</f>
        <v>0</v>
      </c>
      <c r="P39" s="37"/>
      <c r="R39" s="40">
        <v>12</v>
      </c>
      <c r="S39" s="38">
        <f>ABS('Put you Data'!S39-calcu!S90)</f>
        <v>3</v>
      </c>
      <c r="T39" s="38">
        <f>ABS('Put you Data'!T39-calcu!T90)</f>
        <v>13</v>
      </c>
      <c r="U39" s="38">
        <f>ABS('Put you Data'!U39-calcu!U90)</f>
        <v>8</v>
      </c>
      <c r="V39" s="38">
        <f>ABS('Put you Data'!V39-calcu!V90)</f>
        <v>3</v>
      </c>
      <c r="W39" s="38">
        <f>ABS('Put you Data'!W39-calcu!W90)</f>
        <v>1</v>
      </c>
      <c r="X39" s="38">
        <f>ABS('Put you Data'!X39-calcu!X90)</f>
        <v>1</v>
      </c>
      <c r="Y39" s="38">
        <f>ABS('Put you Data'!Y39-calcu!Y90)</f>
        <v>2</v>
      </c>
      <c r="Z39" s="38">
        <f>ABS('Put you Data'!Z39-calcu!Z90)</f>
        <v>1</v>
      </c>
      <c r="AA39" s="38">
        <f>ABS('Put you Data'!AA39-calcu!AA90)</f>
        <v>0</v>
      </c>
      <c r="AB39" s="38">
        <f>ABS('Put you Data'!AB39-calcu!AB90)</f>
        <v>1</v>
      </c>
      <c r="AC39" s="38">
        <f>ABS('Put you Data'!AC39-calcu!AC90)</f>
        <v>1</v>
      </c>
      <c r="AD39" s="38">
        <f>ABS('Put you Data'!AD39-calcu!AD90)</f>
        <v>0</v>
      </c>
      <c r="AE39" s="38">
        <f>ABS('Put you Data'!AE39-calcu!AE90)</f>
        <v>0</v>
      </c>
      <c r="AF39" s="37"/>
      <c r="AH39" s="40">
        <v>12</v>
      </c>
      <c r="AI39" s="38">
        <f>ABS('Put you Data'!AI39-calcu!AI90)</f>
        <v>104</v>
      </c>
      <c r="AJ39" s="38">
        <f>ABS('Put you Data'!AJ39-calcu!AJ90)</f>
        <v>343</v>
      </c>
      <c r="AK39" s="38">
        <f>ABS('Put you Data'!AK39-calcu!AK90)</f>
        <v>34</v>
      </c>
      <c r="AL39" s="38">
        <f>ABS('Put you Data'!AL39-calcu!AL90)</f>
        <v>538</v>
      </c>
      <c r="AM39" s="38">
        <f>ABS('Put you Data'!AM39-calcu!AM90)</f>
        <v>47</v>
      </c>
      <c r="AN39" s="38">
        <f>ABS('Put you Data'!AN39-calcu!AN90)</f>
        <v>62</v>
      </c>
      <c r="AO39" s="38">
        <f>ABS('Put you Data'!AO39-calcu!AO90)</f>
        <v>9</v>
      </c>
      <c r="AP39" s="38">
        <f>ABS('Put you Data'!AP39-calcu!AP90)</f>
        <v>5</v>
      </c>
      <c r="AQ39" s="38">
        <f>ABS('Put you Data'!AQ39-calcu!AQ90)</f>
        <v>11</v>
      </c>
      <c r="AR39" s="38">
        <f>ABS('Put you Data'!AR39-calcu!AR90)</f>
        <v>97</v>
      </c>
      <c r="AS39" s="38">
        <f>ABS('Put you Data'!AS39-calcu!AS90)</f>
        <v>28</v>
      </c>
      <c r="AT39" s="38">
        <f>ABS('Put you Data'!AT39-calcu!AT90)</f>
        <v>1</v>
      </c>
      <c r="AU39" s="38">
        <f>ABS('Put you Data'!AU39-calcu!AU90)</f>
        <v>0</v>
      </c>
    </row>
    <row r="40" spans="1:49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5" t="e">
        <f>SUM(C27:O39)</f>
        <v>#VALUE!</v>
      </c>
      <c r="Q40" s="35" t="s">
        <v>41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5">
        <f>SUM(S27:AE39)</f>
        <v>1799</v>
      </c>
      <c r="AG40" s="35" t="s">
        <v>41</v>
      </c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5">
        <f>SUM(AI27:AU39)</f>
        <v>63857</v>
      </c>
      <c r="AW40" s="35" t="s">
        <v>41</v>
      </c>
    </row>
    <row r="41" spans="1:49" x14ac:dyDescent="0.3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Q41" s="35" t="e">
        <f>IF(P40&lt;10,5,0)</f>
        <v>#VALUE!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G41" s="35">
        <f>IF(AF40&lt;10,5,0)</f>
        <v>0</v>
      </c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W41" s="35">
        <f>IF(AV40&lt;10,5,0)</f>
        <v>0</v>
      </c>
    </row>
    <row r="42" spans="1:49" x14ac:dyDescent="0.3">
      <c r="A42" s="37"/>
      <c r="B42" s="37"/>
      <c r="C42" s="37"/>
      <c r="D42" s="37" t="s">
        <v>15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 t="s">
        <v>23</v>
      </c>
      <c r="X42" s="37"/>
      <c r="Y42" s="37"/>
      <c r="Z42" s="37"/>
      <c r="AA42" s="37"/>
      <c r="AB42" s="37"/>
      <c r="AC42" s="37"/>
      <c r="AD42" s="37"/>
      <c r="AE42" s="37"/>
    </row>
    <row r="43" spans="1:49" x14ac:dyDescent="0.3">
      <c r="A43" s="37"/>
      <c r="B43" s="37"/>
      <c r="C43" s="40">
        <v>0</v>
      </c>
      <c r="D43" s="40">
        <v>1</v>
      </c>
      <c r="E43" s="40">
        <v>2</v>
      </c>
      <c r="F43" s="40">
        <v>3</v>
      </c>
      <c r="G43" s="40">
        <v>4</v>
      </c>
      <c r="H43" s="40">
        <v>5</v>
      </c>
      <c r="I43" s="40">
        <v>6</v>
      </c>
      <c r="J43" s="40">
        <v>7</v>
      </c>
      <c r="K43" s="40">
        <v>8</v>
      </c>
      <c r="L43" s="40">
        <v>9</v>
      </c>
      <c r="M43" s="40">
        <v>10</v>
      </c>
      <c r="N43" s="40">
        <v>11</v>
      </c>
      <c r="O43" s="40">
        <v>12</v>
      </c>
      <c r="P43" s="37"/>
      <c r="Q43" s="37"/>
      <c r="R43" s="37"/>
      <c r="S43" s="40">
        <v>0</v>
      </c>
      <c r="T43" s="40">
        <v>1</v>
      </c>
      <c r="U43" s="40">
        <v>2</v>
      </c>
      <c r="V43" s="40">
        <v>3</v>
      </c>
      <c r="W43" s="40">
        <v>4</v>
      </c>
      <c r="X43" s="40">
        <v>5</v>
      </c>
      <c r="Y43" s="40">
        <v>6</v>
      </c>
      <c r="Z43" s="40">
        <v>7</v>
      </c>
      <c r="AA43" s="40">
        <v>8</v>
      </c>
      <c r="AB43" s="40">
        <v>9</v>
      </c>
      <c r="AC43" s="40">
        <v>10</v>
      </c>
      <c r="AD43" s="40">
        <v>11</v>
      </c>
      <c r="AE43" s="40">
        <v>12</v>
      </c>
    </row>
    <row r="44" spans="1:49" x14ac:dyDescent="0.3">
      <c r="B44" s="40">
        <v>0</v>
      </c>
      <c r="C44" s="38">
        <f>ABS('Put you Data'!C44-calcu!C97)</f>
        <v>1</v>
      </c>
      <c r="D44" s="38">
        <f>ABS('Put you Data'!D44-calcu!D97)</f>
        <v>1</v>
      </c>
      <c r="E44" s="38">
        <f>ABS('Put you Data'!E44-calcu!E97)</f>
        <v>0</v>
      </c>
      <c r="F44" s="38">
        <f>ABS('Put you Data'!F44-calcu!F97)</f>
        <v>0</v>
      </c>
      <c r="G44" s="38">
        <f>ABS('Put you Data'!G44-calcu!G97)</f>
        <v>2724</v>
      </c>
      <c r="H44" s="38">
        <f>ABS('Put you Data'!H44-calcu!H97)</f>
        <v>52042</v>
      </c>
      <c r="I44" s="38">
        <f>ABS('Put you Data'!I44-calcu!I97)</f>
        <v>14802</v>
      </c>
      <c r="J44" s="38">
        <f>ABS('Put you Data'!J44-calcu!J97)</f>
        <v>3</v>
      </c>
      <c r="K44" s="38">
        <f>ABS('Put you Data'!K44-calcu!K97)</f>
        <v>1</v>
      </c>
      <c r="L44" s="38">
        <f>ABS('Put you Data'!L44-calcu!L97)</f>
        <v>0</v>
      </c>
      <c r="M44" s="38">
        <f>ABS('Put you Data'!M44-calcu!M97)</f>
        <v>0</v>
      </c>
      <c r="N44" s="38">
        <f>ABS('Put you Data'!N44-calcu!N97)</f>
        <v>0</v>
      </c>
      <c r="O44" s="38">
        <f>ABS('Put you Data'!O44-calcu!O97)</f>
        <v>5</v>
      </c>
      <c r="P44" s="37"/>
      <c r="R44" s="40">
        <v>0</v>
      </c>
      <c r="S44" s="38">
        <f>ABS('Put you Data'!S44-calcu!S97)</f>
        <v>9</v>
      </c>
      <c r="T44" s="38">
        <f>ABS('Put you Data'!T44-calcu!T97)</f>
        <v>3</v>
      </c>
      <c r="U44" s="38">
        <f>ABS('Put you Data'!U44-calcu!U97)</f>
        <v>24</v>
      </c>
      <c r="V44" s="38">
        <f>ABS('Put you Data'!V44-calcu!V97)</f>
        <v>5</v>
      </c>
      <c r="W44" s="38">
        <f>ABS('Put you Data'!W44-calcu!W97)</f>
        <v>18495</v>
      </c>
      <c r="X44" s="38">
        <f>ABS('Put you Data'!X44-calcu!X97)</f>
        <v>320352</v>
      </c>
      <c r="Y44" s="38">
        <f>ABS('Put you Data'!Y44-calcu!Y97)</f>
        <v>65455</v>
      </c>
      <c r="Z44" s="38">
        <f>ABS('Put you Data'!Z44-calcu!Z97)</f>
        <v>861</v>
      </c>
      <c r="AA44" s="38">
        <f>ABS('Put you Data'!AA44-calcu!AA97)</f>
        <v>4</v>
      </c>
      <c r="AB44" s="38">
        <f>ABS('Put you Data'!AB44-calcu!AB97)</f>
        <v>1</v>
      </c>
      <c r="AC44" s="38">
        <f>ABS('Put you Data'!AC44-calcu!AC97)</f>
        <v>4</v>
      </c>
      <c r="AD44" s="38">
        <f>ABS('Put you Data'!AD44-calcu!AD97)</f>
        <v>3</v>
      </c>
      <c r="AE44" s="38">
        <f>ABS('Put you Data'!AE44-calcu!AE97)</f>
        <v>25</v>
      </c>
    </row>
    <row r="45" spans="1:49" x14ac:dyDescent="0.3">
      <c r="B45" s="40">
        <v>1</v>
      </c>
      <c r="C45" s="38">
        <f>ABS('Put you Data'!C45-calcu!C98)</f>
        <v>0</v>
      </c>
      <c r="D45" s="38">
        <f>ABS('Put you Data'!D45-calcu!D98)</f>
        <v>1</v>
      </c>
      <c r="E45" s="38">
        <f>ABS('Put you Data'!E45-calcu!E98)</f>
        <v>1</v>
      </c>
      <c r="F45" s="38">
        <f>ABS('Put you Data'!F45-calcu!F98)</f>
        <v>222</v>
      </c>
      <c r="G45" s="38">
        <f>ABS('Put you Data'!G45-calcu!G98)</f>
        <v>365065</v>
      </c>
      <c r="H45" s="38">
        <f>ABS('Put you Data'!H45-calcu!H98)</f>
        <v>783655</v>
      </c>
      <c r="I45" s="38">
        <f>ABS('Put you Data'!I45-calcu!I98)</f>
        <v>377295</v>
      </c>
      <c r="J45" s="38">
        <f>ABS('Put you Data'!J45-calcu!J98)</f>
        <v>3726</v>
      </c>
      <c r="K45" s="38">
        <f>ABS('Put you Data'!K45-calcu!K98)</f>
        <v>3</v>
      </c>
      <c r="L45" s="38">
        <f>ABS('Put you Data'!L45-calcu!L98)</f>
        <v>0</v>
      </c>
      <c r="M45" s="38">
        <f>ABS('Put you Data'!M45-calcu!M98)</f>
        <v>0</v>
      </c>
      <c r="N45" s="38">
        <f>ABS('Put you Data'!N45-calcu!N98)</f>
        <v>1</v>
      </c>
      <c r="O45" s="38">
        <f>ABS('Put you Data'!O45-calcu!O98)</f>
        <v>1</v>
      </c>
      <c r="P45" s="37"/>
      <c r="R45" s="40">
        <v>1</v>
      </c>
      <c r="S45" s="38">
        <f>ABS('Put you Data'!S45-calcu!S98)</f>
        <v>1</v>
      </c>
      <c r="T45" s="38">
        <f>ABS('Put you Data'!T45-calcu!T98)</f>
        <v>3</v>
      </c>
      <c r="U45" s="38">
        <f>ABS('Put you Data'!U45-calcu!U98)</f>
        <v>8</v>
      </c>
      <c r="V45" s="38">
        <f>ABS('Put you Data'!V45-calcu!V98)</f>
        <v>49280</v>
      </c>
      <c r="W45" s="38">
        <f>ABS('Put you Data'!W45-calcu!W98)</f>
        <v>2096700</v>
      </c>
      <c r="X45" s="38">
        <f>ABS('Put you Data'!X45-calcu!X98)</f>
        <v>8153764</v>
      </c>
      <c r="Y45" s="38">
        <f>ABS('Put you Data'!Y45-calcu!Y98)</f>
        <v>3939105</v>
      </c>
      <c r="Z45" s="38">
        <f>ABS('Put you Data'!Z45-calcu!Z98)</f>
        <v>118472</v>
      </c>
      <c r="AA45" s="38">
        <f>ABS('Put you Data'!AA45-calcu!AA98)</f>
        <v>25</v>
      </c>
      <c r="AB45" s="38">
        <f>ABS('Put you Data'!AB45-calcu!AB98)</f>
        <v>1</v>
      </c>
      <c r="AC45" s="38">
        <f>ABS('Put you Data'!AC45-calcu!AC98)</f>
        <v>0</v>
      </c>
      <c r="AD45" s="38">
        <f>ABS('Put you Data'!AD45-calcu!AD98)</f>
        <v>8</v>
      </c>
      <c r="AE45" s="38">
        <f>ABS('Put you Data'!AE45-calcu!AE98)</f>
        <v>9</v>
      </c>
    </row>
    <row r="46" spans="1:49" x14ac:dyDescent="0.3">
      <c r="B46" s="40">
        <v>2</v>
      </c>
      <c r="C46" s="38">
        <f>ABS('Put you Data'!C46-calcu!C99)</f>
        <v>0</v>
      </c>
      <c r="D46" s="38">
        <f>ABS('Put you Data'!D46-calcu!D99)</f>
        <v>3</v>
      </c>
      <c r="E46" s="38">
        <f>ABS('Put you Data'!E46-calcu!E99)</f>
        <v>4</v>
      </c>
      <c r="F46" s="38">
        <f>ABS('Put you Data'!F46-calcu!F99)</f>
        <v>3</v>
      </c>
      <c r="G46" s="38">
        <f>ABS('Put you Data'!G46-calcu!G99)</f>
        <v>1998273</v>
      </c>
      <c r="H46" s="38">
        <f>ABS('Put you Data'!H46-calcu!H99)</f>
        <v>4587908</v>
      </c>
      <c r="I46" s="38">
        <f>ABS('Put you Data'!I46-calcu!I99)</f>
        <v>632224</v>
      </c>
      <c r="J46" s="38">
        <f>ABS('Put you Data'!J46-calcu!J99)</f>
        <v>68533</v>
      </c>
      <c r="K46" s="38">
        <f>ABS('Put you Data'!K46-calcu!K99)</f>
        <v>98563</v>
      </c>
      <c r="L46" s="38">
        <f>ABS('Put you Data'!L46-calcu!L99)</f>
        <v>134</v>
      </c>
      <c r="M46" s="38">
        <f>ABS('Put you Data'!M46-calcu!M99)</f>
        <v>0</v>
      </c>
      <c r="N46" s="38">
        <f>ABS('Put you Data'!N46-calcu!N99)</f>
        <v>1</v>
      </c>
      <c r="O46" s="38">
        <f>ABS('Put you Data'!O46-calcu!O99)</f>
        <v>1</v>
      </c>
      <c r="P46" s="37"/>
      <c r="R46" s="40">
        <v>2</v>
      </c>
      <c r="S46" s="38">
        <f>ABS('Put you Data'!S46-calcu!S99)</f>
        <v>8</v>
      </c>
      <c r="T46" s="38">
        <f>ABS('Put you Data'!T46-calcu!T99)</f>
        <v>15</v>
      </c>
      <c r="U46" s="38">
        <f>ABS('Put you Data'!U46-calcu!U99)</f>
        <v>48364</v>
      </c>
      <c r="V46" s="38">
        <f>ABS('Put you Data'!V46-calcu!V99)</f>
        <v>3904551</v>
      </c>
      <c r="W46" s="38">
        <f>ABS('Put you Data'!W46-calcu!W99)</f>
        <v>27298845</v>
      </c>
      <c r="X46" s="38">
        <f>ABS('Put you Data'!X46-calcu!X99)</f>
        <v>24564072</v>
      </c>
      <c r="Y46" s="38">
        <f>ABS('Put you Data'!Y46-calcu!Y99)</f>
        <v>49329000</v>
      </c>
      <c r="Z46" s="38">
        <f>ABS('Put you Data'!Z46-calcu!Z99)</f>
        <v>7072032</v>
      </c>
      <c r="AA46" s="38">
        <f>ABS('Put you Data'!AA46-calcu!AA99)</f>
        <v>964160</v>
      </c>
      <c r="AB46" s="38">
        <f>ABS('Put you Data'!AB46-calcu!AB99)</f>
        <v>30260</v>
      </c>
      <c r="AC46" s="38">
        <f>ABS('Put you Data'!AC46-calcu!AC99)</f>
        <v>1</v>
      </c>
      <c r="AD46" s="38">
        <f>ABS('Put you Data'!AD46-calcu!AD99)</f>
        <v>1</v>
      </c>
      <c r="AE46" s="38">
        <f>ABS('Put you Data'!AE46-calcu!AE99)</f>
        <v>1</v>
      </c>
    </row>
    <row r="47" spans="1:49" x14ac:dyDescent="0.3">
      <c r="B47" s="40">
        <v>3</v>
      </c>
      <c r="C47" s="38">
        <f>ABS('Put you Data'!C47-calcu!C100)</f>
        <v>128</v>
      </c>
      <c r="D47" s="38">
        <f>ABS('Put you Data'!D47-calcu!D100)</f>
        <v>8738</v>
      </c>
      <c r="E47" s="38">
        <f>ABS('Put you Data'!E47-calcu!E100)</f>
        <v>448278</v>
      </c>
      <c r="F47" s="38">
        <f>ABS('Put you Data'!F47-calcu!F100)</f>
        <v>557872</v>
      </c>
      <c r="G47" s="38">
        <f>ABS('Put you Data'!G47-calcu!G100)</f>
        <v>509754</v>
      </c>
      <c r="H47" s="38">
        <f>ABS('Put you Data'!H47-calcu!H100)</f>
        <v>869502</v>
      </c>
      <c r="I47" s="38">
        <f>ABS('Put you Data'!I47-calcu!I100)</f>
        <v>3938680</v>
      </c>
      <c r="J47" s="38">
        <f>ABS('Put you Data'!J47-calcu!J100)</f>
        <v>2679565</v>
      </c>
      <c r="K47" s="38">
        <f>ABS('Put you Data'!K47-calcu!K100)</f>
        <v>4145911</v>
      </c>
      <c r="L47" s="38">
        <f>ABS('Put you Data'!L47-calcu!L100)</f>
        <v>653421</v>
      </c>
      <c r="M47" s="38">
        <f>ABS('Put you Data'!M47-calcu!M100)</f>
        <v>287</v>
      </c>
      <c r="N47" s="38">
        <f>ABS('Put you Data'!N47-calcu!N100)</f>
        <v>0</v>
      </c>
      <c r="O47" s="38">
        <f>ABS('Put you Data'!O47-calcu!O100)</f>
        <v>0</v>
      </c>
      <c r="P47" s="37"/>
      <c r="R47" s="40">
        <v>3</v>
      </c>
      <c r="S47" s="38">
        <f>ABS('Put you Data'!S47-calcu!S100)</f>
        <v>4891</v>
      </c>
      <c r="T47" s="38">
        <f>ABS('Put you Data'!T47-calcu!T100)</f>
        <v>40365</v>
      </c>
      <c r="U47" s="38">
        <f>ABS('Put you Data'!U47-calcu!U100)</f>
        <v>2637351</v>
      </c>
      <c r="V47" s="38">
        <f>ABS('Put you Data'!V47-calcu!V100)</f>
        <v>31716233</v>
      </c>
      <c r="W47" s="38">
        <f>ABS('Put you Data'!W47-calcu!W100)</f>
        <v>27295691</v>
      </c>
      <c r="X47" s="38">
        <f>ABS('Put you Data'!X47-calcu!X100)</f>
        <v>22850028</v>
      </c>
      <c r="Y47" s="38">
        <f>ABS('Put you Data'!Y47-calcu!Y100)</f>
        <v>46092565</v>
      </c>
      <c r="Z47" s="38">
        <f>ABS('Put you Data'!Z47-calcu!Z100)</f>
        <v>36542340</v>
      </c>
      <c r="AA47" s="38">
        <f>ABS('Put you Data'!AA47-calcu!AA100)</f>
        <v>26582767</v>
      </c>
      <c r="AB47" s="38">
        <f>ABS('Put you Data'!AB47-calcu!AB100)</f>
        <v>2321325</v>
      </c>
      <c r="AC47" s="38">
        <f>ABS('Put you Data'!AC47-calcu!AC100)</f>
        <v>12441</v>
      </c>
      <c r="AD47" s="38">
        <f>ABS('Put you Data'!AD47-calcu!AD100)</f>
        <v>0</v>
      </c>
      <c r="AE47" s="38">
        <f>ABS('Put you Data'!AE47-calcu!AE100)</f>
        <v>0</v>
      </c>
    </row>
    <row r="48" spans="1:49" x14ac:dyDescent="0.3">
      <c r="B48" s="40">
        <v>4</v>
      </c>
      <c r="C48" s="38">
        <f>ABS('Put you Data'!C48-calcu!C101)</f>
        <v>254</v>
      </c>
      <c r="D48" s="38">
        <f>ABS('Put you Data'!D48-calcu!D101)</f>
        <v>240586</v>
      </c>
      <c r="E48" s="38">
        <f>ABS('Put you Data'!E48-calcu!E101)</f>
        <v>2754050</v>
      </c>
      <c r="F48" s="38">
        <f>ABS('Put you Data'!F48-calcu!F101)</f>
        <v>3886160</v>
      </c>
      <c r="G48" s="38">
        <f>ABS('Put you Data'!G48-calcu!G101)</f>
        <v>321259</v>
      </c>
      <c r="H48" s="38">
        <f>ABS('Put you Data'!H48-calcu!H101)</f>
        <v>312061</v>
      </c>
      <c r="I48" s="38">
        <f>ABS('Put you Data'!I48-calcu!I101)</f>
        <v>1640384</v>
      </c>
      <c r="J48" s="38">
        <f>ABS('Put you Data'!J48-calcu!J101)</f>
        <v>3950227</v>
      </c>
      <c r="K48" s="38">
        <f>ABS('Put you Data'!K48-calcu!K101)</f>
        <v>7872900</v>
      </c>
      <c r="L48" s="38">
        <f>ABS('Put you Data'!L48-calcu!L101)</f>
        <v>624006</v>
      </c>
      <c r="M48" s="38">
        <f>ABS('Put you Data'!M48-calcu!M101)</f>
        <v>422005</v>
      </c>
      <c r="N48" s="38">
        <f>ABS('Put you Data'!N48-calcu!N101)</f>
        <v>228</v>
      </c>
      <c r="O48" s="38">
        <f>ABS('Put you Data'!O48-calcu!O101)</f>
        <v>0</v>
      </c>
      <c r="P48" s="37"/>
      <c r="R48" s="40">
        <v>4</v>
      </c>
      <c r="S48" s="38">
        <f>ABS('Put you Data'!S48-calcu!S101)</f>
        <v>112005</v>
      </c>
      <c r="T48" s="38">
        <f>ABS('Put you Data'!T48-calcu!T101)</f>
        <v>1160272</v>
      </c>
      <c r="U48" s="38">
        <f>ABS('Put you Data'!U48-calcu!U101)</f>
        <v>18569208</v>
      </c>
      <c r="V48" s="38">
        <f>ABS('Put you Data'!V48-calcu!V101)</f>
        <v>35969225</v>
      </c>
      <c r="W48" s="38">
        <f>ABS('Put you Data'!W48-calcu!W101)</f>
        <v>32251655</v>
      </c>
      <c r="X48" s="38">
        <f>ABS('Put you Data'!X48-calcu!X101)</f>
        <v>37062599</v>
      </c>
      <c r="Y48" s="38">
        <f>ABS('Put you Data'!Y48-calcu!Y101)</f>
        <v>3143964</v>
      </c>
      <c r="Z48" s="38">
        <f>ABS('Put you Data'!Z48-calcu!Z101)</f>
        <v>4851455</v>
      </c>
      <c r="AA48" s="38">
        <f>ABS('Put you Data'!AA48-calcu!AA101)</f>
        <v>27268500</v>
      </c>
      <c r="AB48" s="38">
        <f>ABS('Put you Data'!AB48-calcu!AB101)</f>
        <v>5901345</v>
      </c>
      <c r="AC48" s="38">
        <f>ABS('Put you Data'!AC48-calcu!AC101)</f>
        <v>1051967</v>
      </c>
      <c r="AD48" s="38">
        <f>ABS('Put you Data'!AD48-calcu!AD101)</f>
        <v>17955</v>
      </c>
      <c r="AE48" s="38">
        <f>ABS('Put you Data'!AE48-calcu!AE101)</f>
        <v>0</v>
      </c>
    </row>
    <row r="49" spans="2:33" x14ac:dyDescent="0.3">
      <c r="B49" s="40">
        <v>5</v>
      </c>
      <c r="C49" s="38">
        <f>ABS('Put you Data'!C49-calcu!C102)</f>
        <v>267</v>
      </c>
      <c r="D49" s="38">
        <f>ABS('Put you Data'!D49-calcu!D102)</f>
        <v>386828</v>
      </c>
      <c r="E49" s="38">
        <f>ABS('Put you Data'!E49-calcu!E102)</f>
        <v>1436214</v>
      </c>
      <c r="F49" s="38">
        <f>ABS('Put you Data'!F49-calcu!F102)</f>
        <v>735</v>
      </c>
      <c r="G49" s="38">
        <f>ABS('Put you Data'!G49-calcu!G102)</f>
        <v>4202009</v>
      </c>
      <c r="H49" s="38">
        <f>ABS('Put you Data'!H49-calcu!H102)</f>
        <v>212011</v>
      </c>
      <c r="I49" s="38">
        <f>ABS('Put you Data'!I49-calcu!I102)</f>
        <v>61350</v>
      </c>
      <c r="J49" s="38">
        <f>ABS('Put you Data'!J49-calcu!J102)</f>
        <v>628185</v>
      </c>
      <c r="K49" s="38">
        <f>ABS('Put you Data'!K49-calcu!K102)</f>
        <v>1382292</v>
      </c>
      <c r="L49" s="38">
        <f>ABS('Put you Data'!L49-calcu!L102)</f>
        <v>5364962</v>
      </c>
      <c r="M49" s="38">
        <f>ABS('Put you Data'!M49-calcu!M102)</f>
        <v>1904373</v>
      </c>
      <c r="N49" s="38">
        <f>ABS('Put you Data'!N49-calcu!N102)</f>
        <v>607</v>
      </c>
      <c r="O49" s="38">
        <f>ABS('Put you Data'!O49-calcu!O102)</f>
        <v>1</v>
      </c>
      <c r="P49" s="37"/>
      <c r="R49" s="40">
        <v>5</v>
      </c>
      <c r="S49" s="38">
        <f>ABS('Put you Data'!S49-calcu!S102)</f>
        <v>36120</v>
      </c>
      <c r="T49" s="38">
        <f>ABS('Put you Data'!T49-calcu!T102)</f>
        <v>2288455</v>
      </c>
      <c r="U49" s="38">
        <f>ABS('Put you Data'!U49-calcu!U102)</f>
        <v>37950952</v>
      </c>
      <c r="V49" s="38">
        <f>ABS('Put you Data'!V49-calcu!V102)</f>
        <v>21199541</v>
      </c>
      <c r="W49" s="38">
        <f>ABS('Put you Data'!W49-calcu!W102)</f>
        <v>39639487</v>
      </c>
      <c r="X49" s="38">
        <f>ABS('Put you Data'!X49-calcu!X102)</f>
        <v>5377757</v>
      </c>
      <c r="Y49" s="38">
        <f>ABS('Put you Data'!Y49-calcu!Y102)</f>
        <v>216033</v>
      </c>
      <c r="Z49" s="38">
        <f>ABS('Put you Data'!Z49-calcu!Z102)</f>
        <v>649816</v>
      </c>
      <c r="AA49" s="38">
        <f>ABS('Put you Data'!AA49-calcu!AA102)</f>
        <v>18730753</v>
      </c>
      <c r="AB49" s="38">
        <f>ABS('Put you Data'!AB49-calcu!AB102)</f>
        <v>15563380</v>
      </c>
      <c r="AC49" s="38">
        <f>ABS('Put you Data'!AC49-calcu!AC102)</f>
        <v>15127600</v>
      </c>
      <c r="AD49" s="38">
        <f>ABS('Put you Data'!AD49-calcu!AD102)</f>
        <v>448899</v>
      </c>
      <c r="AE49" s="38">
        <f>ABS('Put you Data'!AE49-calcu!AE102)</f>
        <v>4</v>
      </c>
    </row>
    <row r="50" spans="2:33" x14ac:dyDescent="0.3">
      <c r="B50" s="40">
        <v>6</v>
      </c>
      <c r="C50" s="38">
        <f>ABS('Put you Data'!C50-calcu!C103)</f>
        <v>49</v>
      </c>
      <c r="D50" s="38">
        <f>ABS('Put you Data'!D50-calcu!D103)</f>
        <v>92381</v>
      </c>
      <c r="E50" s="38">
        <f>ABS('Put you Data'!E50-calcu!E103)</f>
        <v>5922</v>
      </c>
      <c r="F50" s="38">
        <f>ABS('Put you Data'!F50-calcu!F103)</f>
        <v>1432340</v>
      </c>
      <c r="G50" s="38">
        <f>ABS('Put you Data'!G50-calcu!G103)</f>
        <v>2647767</v>
      </c>
      <c r="H50" s="38">
        <f>ABS('Put you Data'!H50-calcu!H103)</f>
        <v>109147</v>
      </c>
      <c r="I50" s="38">
        <f>ABS('Put you Data'!I50-calcu!I103)</f>
        <v>1</v>
      </c>
      <c r="J50" s="38">
        <f>ABS('Put you Data'!J50-calcu!J103)</f>
        <v>972</v>
      </c>
      <c r="K50" s="38">
        <f>ABS('Put you Data'!K50-calcu!K103)</f>
        <v>507089</v>
      </c>
      <c r="L50" s="38">
        <f>ABS('Put you Data'!L50-calcu!L103)</f>
        <v>2504313</v>
      </c>
      <c r="M50" s="38">
        <f>ABS('Put you Data'!M50-calcu!M103)</f>
        <v>540578</v>
      </c>
      <c r="N50" s="38">
        <f>ABS('Put you Data'!N50-calcu!N103)</f>
        <v>271</v>
      </c>
      <c r="O50" s="38">
        <f>ABS('Put you Data'!O50-calcu!O103)</f>
        <v>3</v>
      </c>
      <c r="P50" s="37"/>
      <c r="R50" s="40">
        <v>6</v>
      </c>
      <c r="S50" s="38">
        <f>ABS('Put you Data'!S50-calcu!S103)</f>
        <v>69216</v>
      </c>
      <c r="T50" s="38">
        <f>ABS('Put you Data'!T50-calcu!T103)</f>
        <v>1783159</v>
      </c>
      <c r="U50" s="38">
        <f>ABS('Put you Data'!U50-calcu!U103)</f>
        <v>40517496</v>
      </c>
      <c r="V50" s="38">
        <f>ABS('Put you Data'!V50-calcu!V103)</f>
        <v>2199004</v>
      </c>
      <c r="W50" s="38">
        <f>ABS('Put you Data'!W50-calcu!W103)</f>
        <v>37536680</v>
      </c>
      <c r="X50" s="38">
        <f>ABS('Put you Data'!X50-calcu!X103)</f>
        <v>1575025</v>
      </c>
      <c r="Y50" s="38">
        <f>ABS('Put you Data'!Y50-calcu!Y103)</f>
        <v>3</v>
      </c>
      <c r="Z50" s="38">
        <f>ABS('Put you Data'!Z50-calcu!Z103)</f>
        <v>1324064</v>
      </c>
      <c r="AA50" s="38">
        <f>ABS('Put you Data'!AA50-calcu!AA103)</f>
        <v>31056912</v>
      </c>
      <c r="AB50" s="38">
        <f>ABS('Put you Data'!AB50-calcu!AB103)</f>
        <v>8863205</v>
      </c>
      <c r="AC50" s="38">
        <f>ABS('Put you Data'!AC50-calcu!AC103)</f>
        <v>17656875</v>
      </c>
      <c r="AD50" s="38">
        <f>ABS('Put you Data'!AD50-calcu!AD103)</f>
        <v>719104</v>
      </c>
      <c r="AE50" s="38">
        <f>ABS('Put you Data'!AE50-calcu!AE103)</f>
        <v>16</v>
      </c>
    </row>
    <row r="51" spans="2:33" x14ac:dyDescent="0.3">
      <c r="B51" s="40">
        <v>7</v>
      </c>
      <c r="C51" s="38">
        <f>ABS('Put you Data'!C51-calcu!C104)</f>
        <v>99</v>
      </c>
      <c r="D51" s="38">
        <f>ABS('Put you Data'!D51-calcu!D104)</f>
        <v>47</v>
      </c>
      <c r="E51" s="38">
        <f>ABS('Put you Data'!E51-calcu!E104)</f>
        <v>87614</v>
      </c>
      <c r="F51" s="38">
        <f>ABS('Put you Data'!F51-calcu!F104)</f>
        <v>305724</v>
      </c>
      <c r="G51" s="38">
        <f>ABS('Put you Data'!G51-calcu!G104)</f>
        <v>62926</v>
      </c>
      <c r="H51" s="38">
        <f>ABS('Put you Data'!H51-calcu!H104)</f>
        <v>1165</v>
      </c>
      <c r="I51" s="38">
        <f>ABS('Put you Data'!I51-calcu!I104)</f>
        <v>4</v>
      </c>
      <c r="J51" s="38">
        <f>ABS('Put you Data'!J51-calcu!J104)</f>
        <v>2267</v>
      </c>
      <c r="K51" s="38">
        <f>ABS('Put you Data'!K51-calcu!K104)</f>
        <v>4018</v>
      </c>
      <c r="L51" s="38">
        <f>ABS('Put you Data'!L51-calcu!L104)</f>
        <v>77</v>
      </c>
      <c r="M51" s="38">
        <f>ABS('Put you Data'!M51-calcu!M104)</f>
        <v>2800</v>
      </c>
      <c r="N51" s="38">
        <f>ABS('Put you Data'!N51-calcu!N104)</f>
        <v>732</v>
      </c>
      <c r="O51" s="38">
        <f>ABS('Put you Data'!O51-calcu!O104)</f>
        <v>1</v>
      </c>
      <c r="P51" s="37"/>
      <c r="R51" s="40">
        <v>7</v>
      </c>
      <c r="S51" s="38">
        <f>ABS('Put you Data'!S51-calcu!S104)</f>
        <v>3136</v>
      </c>
      <c r="T51" s="38">
        <f>ABS('Put you Data'!T51-calcu!T104)</f>
        <v>1696320</v>
      </c>
      <c r="U51" s="38">
        <f>ABS('Put you Data'!U51-calcu!U104)</f>
        <v>40724159</v>
      </c>
      <c r="V51" s="38">
        <f>ABS('Put you Data'!V51-calcu!V104)</f>
        <v>182559</v>
      </c>
      <c r="W51" s="38">
        <f>ABS('Put you Data'!W51-calcu!W104)</f>
        <v>38116079</v>
      </c>
      <c r="X51" s="38">
        <f>ABS('Put you Data'!X51-calcu!X104)</f>
        <v>1555008</v>
      </c>
      <c r="Y51" s="38">
        <f>ABS('Put you Data'!Y51-calcu!Y104)</f>
        <v>36</v>
      </c>
      <c r="Z51" s="38">
        <f>ABS('Put you Data'!Z51-calcu!Z104)</f>
        <v>1290471</v>
      </c>
      <c r="AA51" s="38">
        <f>ABS('Put you Data'!AA51-calcu!AA104)</f>
        <v>31390593</v>
      </c>
      <c r="AB51" s="38">
        <f>ABS('Put you Data'!AB51-calcu!AB104)</f>
        <v>14249133</v>
      </c>
      <c r="AC51" s="38">
        <f>ABS('Put you Data'!AC51-calcu!AC104)</f>
        <v>16740624</v>
      </c>
      <c r="AD51" s="38">
        <f>ABS('Put you Data'!AD51-calcu!AD104)</f>
        <v>729315</v>
      </c>
      <c r="AE51" s="38">
        <f>ABS('Put you Data'!AE51-calcu!AE104)</f>
        <v>8</v>
      </c>
    </row>
    <row r="52" spans="2:33" x14ac:dyDescent="0.3">
      <c r="B52" s="40">
        <v>8</v>
      </c>
      <c r="C52" s="38">
        <f>ABS('Put you Data'!C52-calcu!C105)</f>
        <v>0</v>
      </c>
      <c r="D52" s="38">
        <f>ABS('Put you Data'!D52-calcu!D105)</f>
        <v>1251</v>
      </c>
      <c r="E52" s="38">
        <f>ABS('Put you Data'!E52-calcu!E105)</f>
        <v>624303</v>
      </c>
      <c r="F52" s="38">
        <f>ABS('Put you Data'!F52-calcu!F105)</f>
        <v>2947676</v>
      </c>
      <c r="G52" s="38">
        <f>ABS('Put you Data'!G52-calcu!G105)</f>
        <v>824130</v>
      </c>
      <c r="H52" s="38">
        <f>ABS('Put you Data'!H52-calcu!H105)</f>
        <v>674</v>
      </c>
      <c r="I52" s="38">
        <f>ABS('Put you Data'!I52-calcu!I105)</f>
        <v>645</v>
      </c>
      <c r="J52" s="38">
        <f>ABS('Put you Data'!J52-calcu!J105)</f>
        <v>699989</v>
      </c>
      <c r="K52" s="38">
        <f>ABS('Put you Data'!K52-calcu!K105)</f>
        <v>2574096</v>
      </c>
      <c r="L52" s="38">
        <f>ABS('Put you Data'!L52-calcu!L105)</f>
        <v>547743</v>
      </c>
      <c r="M52" s="38">
        <f>ABS('Put you Data'!M52-calcu!M105)</f>
        <v>792</v>
      </c>
      <c r="N52" s="38">
        <f>ABS('Put you Data'!N52-calcu!N105)</f>
        <v>36</v>
      </c>
      <c r="O52" s="38">
        <f>ABS('Put you Data'!O52-calcu!O105)</f>
        <v>0</v>
      </c>
      <c r="P52" s="37"/>
      <c r="R52" s="40">
        <v>8</v>
      </c>
      <c r="S52" s="38">
        <f>ABS('Put you Data'!S52-calcu!S105)</f>
        <v>0</v>
      </c>
      <c r="T52" s="38">
        <f>ABS('Put you Data'!T52-calcu!T105)</f>
        <v>1605288</v>
      </c>
      <c r="U52" s="38">
        <f>ABS('Put you Data'!U52-calcu!U105)</f>
        <v>39871068</v>
      </c>
      <c r="V52" s="38">
        <f>ABS('Put you Data'!V52-calcu!V105)</f>
        <v>5384484</v>
      </c>
      <c r="W52" s="38">
        <f>ABS('Put you Data'!W52-calcu!W105)</f>
        <v>36177791</v>
      </c>
      <c r="X52" s="38">
        <f>ABS('Put you Data'!X52-calcu!X105)</f>
        <v>1119768</v>
      </c>
      <c r="Y52" s="38">
        <f>ABS('Put you Data'!Y52-calcu!Y105)</f>
        <v>422464</v>
      </c>
      <c r="Z52" s="38">
        <f>ABS('Put you Data'!Z52-calcu!Z105)</f>
        <v>3058992</v>
      </c>
      <c r="AA52" s="38">
        <f>ABS('Put you Data'!AA52-calcu!AA105)</f>
        <v>35013984</v>
      </c>
      <c r="AB52" s="38">
        <f>ABS('Put you Data'!AB52-calcu!AB105)</f>
        <v>13114176</v>
      </c>
      <c r="AC52" s="38">
        <f>ABS('Put you Data'!AC52-calcu!AC105)</f>
        <v>16476780</v>
      </c>
      <c r="AD52" s="38">
        <f>ABS('Put you Data'!AD52-calcu!AD105)</f>
        <v>700568</v>
      </c>
      <c r="AE52" s="38">
        <f>ABS('Put you Data'!AE52-calcu!AE105)</f>
        <v>1</v>
      </c>
    </row>
    <row r="53" spans="2:33" x14ac:dyDescent="0.3">
      <c r="B53" s="40">
        <v>9</v>
      </c>
      <c r="C53" s="38">
        <f>ABS('Put you Data'!C53-calcu!C106)</f>
        <v>1</v>
      </c>
      <c r="D53" s="38">
        <f>ABS('Put you Data'!D53-calcu!D106)</f>
        <v>11106</v>
      </c>
      <c r="E53" s="38">
        <f>ABS('Put you Data'!E53-calcu!E106)</f>
        <v>2397129</v>
      </c>
      <c r="F53" s="38">
        <f>ABS('Put you Data'!F53-calcu!F106)</f>
        <v>6823338</v>
      </c>
      <c r="G53" s="38">
        <f>ABS('Put you Data'!G53-calcu!G106)</f>
        <v>906139</v>
      </c>
      <c r="H53" s="38">
        <f>ABS('Put you Data'!H53-calcu!H106)</f>
        <v>570250</v>
      </c>
      <c r="I53" s="38">
        <f>ABS('Put you Data'!I53-calcu!I106)</f>
        <v>1410</v>
      </c>
      <c r="J53" s="38">
        <f>ABS('Put you Data'!J53-calcu!J106)</f>
        <v>2574257</v>
      </c>
      <c r="K53" s="38">
        <f>ABS('Put you Data'!K53-calcu!K106)</f>
        <v>5816871</v>
      </c>
      <c r="L53" s="38">
        <f>ABS('Put you Data'!L53-calcu!L106)</f>
        <v>451026</v>
      </c>
      <c r="M53" s="38">
        <f>ABS('Put you Data'!M53-calcu!M106)</f>
        <v>280407</v>
      </c>
      <c r="N53" s="38">
        <f>ABS('Put you Data'!N53-calcu!N106)</f>
        <v>16</v>
      </c>
      <c r="O53" s="38">
        <f>ABS('Put you Data'!O53-calcu!O106)</f>
        <v>1</v>
      </c>
      <c r="P53" s="37"/>
      <c r="R53" s="40">
        <v>9</v>
      </c>
      <c r="S53" s="38">
        <f>ABS('Put you Data'!S53-calcu!S106)</f>
        <v>3</v>
      </c>
      <c r="T53" s="38">
        <f>ABS('Put you Data'!T53-calcu!T106)</f>
        <v>1044475</v>
      </c>
      <c r="U53" s="38">
        <f>ABS('Put you Data'!U53-calcu!U106)</f>
        <v>30090177</v>
      </c>
      <c r="V53" s="38">
        <f>ABS('Put you Data'!V53-calcu!V106)</f>
        <v>18832320</v>
      </c>
      <c r="W53" s="38">
        <f>ABS('Put you Data'!W53-calcu!W106)</f>
        <v>25011599</v>
      </c>
      <c r="X53" s="38">
        <f>ABS('Put you Data'!X53-calcu!X106)</f>
        <v>8244369</v>
      </c>
      <c r="Y53" s="38">
        <f>ABS('Put you Data'!Y53-calcu!Y106)</f>
        <v>10479408</v>
      </c>
      <c r="Z53" s="38">
        <f>ABS('Put you Data'!Z53-calcu!Z106)</f>
        <v>17254440</v>
      </c>
      <c r="AA53" s="38">
        <f>ABS('Put you Data'!AA53-calcu!AA106)</f>
        <v>47757612</v>
      </c>
      <c r="AB53" s="38">
        <f>ABS('Put you Data'!AB53-calcu!AB106)</f>
        <v>2786865</v>
      </c>
      <c r="AC53" s="38">
        <f>ABS('Put you Data'!AC53-calcu!AC106)</f>
        <v>16972411</v>
      </c>
      <c r="AD53" s="38">
        <f>ABS('Put you Data'!AD53-calcu!AD106)</f>
        <v>677328</v>
      </c>
      <c r="AE53" s="38">
        <f>ABS('Put you Data'!AE53-calcu!AE106)</f>
        <v>0</v>
      </c>
    </row>
    <row r="54" spans="2:33" x14ac:dyDescent="0.3">
      <c r="B54" s="40">
        <v>10</v>
      </c>
      <c r="C54" s="38">
        <f>ABS('Put you Data'!C54-calcu!C107)</f>
        <v>0</v>
      </c>
      <c r="D54" s="38">
        <f>ABS('Put you Data'!D54-calcu!D107)</f>
        <v>25226</v>
      </c>
      <c r="E54" s="38">
        <f>ABS('Put you Data'!E54-calcu!E107)</f>
        <v>1035453</v>
      </c>
      <c r="F54" s="38">
        <f>ABS('Put you Data'!F54-calcu!F107)</f>
        <v>51858</v>
      </c>
      <c r="G54" s="38">
        <f>ABS('Put you Data'!G54-calcu!G107)</f>
        <v>4444749</v>
      </c>
      <c r="H54" s="38">
        <f>ABS('Put you Data'!H54-calcu!H107)</f>
        <v>2120871</v>
      </c>
      <c r="I54" s="38">
        <f>ABS('Put you Data'!I54-calcu!I107)</f>
        <v>1906</v>
      </c>
      <c r="J54" s="38">
        <f>ABS('Put you Data'!J54-calcu!J107)</f>
        <v>658547</v>
      </c>
      <c r="K54" s="38">
        <f>ABS('Put you Data'!K54-calcu!K107)</f>
        <v>193218</v>
      </c>
      <c r="L54" s="38">
        <f>ABS('Put you Data'!L54-calcu!L107)</f>
        <v>2985843</v>
      </c>
      <c r="M54" s="38">
        <f>ABS('Put you Data'!M54-calcu!M107)</f>
        <v>990135</v>
      </c>
      <c r="N54" s="38">
        <f>ABS('Put you Data'!N54-calcu!N107)</f>
        <v>64</v>
      </c>
      <c r="O54" s="38">
        <f>ABS('Put you Data'!O54-calcu!O107)</f>
        <v>0</v>
      </c>
      <c r="P54" s="37"/>
      <c r="R54" s="40">
        <v>10</v>
      </c>
      <c r="S54" s="38">
        <f>ABS('Put you Data'!S54-calcu!S107)</f>
        <v>1023</v>
      </c>
      <c r="T54" s="38">
        <f>ABS('Put you Data'!T54-calcu!T107)</f>
        <v>223720</v>
      </c>
      <c r="U54" s="38">
        <f>ABS('Put you Data'!U54-calcu!U107)</f>
        <v>3611861</v>
      </c>
      <c r="V54" s="38">
        <f>ABS('Put you Data'!V54-calcu!V107)</f>
        <v>16546956</v>
      </c>
      <c r="W54" s="38">
        <f>ABS('Put you Data'!W54-calcu!W107)</f>
        <v>38076660</v>
      </c>
      <c r="X54" s="38">
        <f>ABS('Put you Data'!X54-calcu!X107)</f>
        <v>727488</v>
      </c>
      <c r="Y54" s="38">
        <f>ABS('Put you Data'!Y54-calcu!Y107)</f>
        <v>5405344</v>
      </c>
      <c r="Z54" s="38">
        <f>ABS('Put you Data'!Z54-calcu!Z107)</f>
        <v>6131048</v>
      </c>
      <c r="AA54" s="38">
        <f>ABS('Put you Data'!AA54-calcu!AA107)</f>
        <v>3808740</v>
      </c>
      <c r="AB54" s="38">
        <f>ABS('Put you Data'!AB54-calcu!AB107)</f>
        <v>24668544</v>
      </c>
      <c r="AC54" s="38">
        <f>ABS('Put you Data'!AC54-calcu!AC107)</f>
        <v>13465887</v>
      </c>
      <c r="AD54" s="38">
        <f>ABS('Put you Data'!AD54-calcu!AD107)</f>
        <v>434280</v>
      </c>
      <c r="AE54" s="38">
        <f>ABS('Put you Data'!AE54-calcu!AE107)</f>
        <v>0</v>
      </c>
    </row>
    <row r="55" spans="2:33" x14ac:dyDescent="0.3">
      <c r="B55" s="40">
        <v>11</v>
      </c>
      <c r="C55" s="38">
        <f>ABS('Put you Data'!C55-calcu!C108)</f>
        <v>4376</v>
      </c>
      <c r="D55" s="38">
        <f>ABS('Put you Data'!D55-calcu!D108)</f>
        <v>6093</v>
      </c>
      <c r="E55" s="38">
        <f>ABS('Put you Data'!E55-calcu!E108)</f>
        <v>38498</v>
      </c>
      <c r="F55" s="38">
        <f>ABS('Put you Data'!F55-calcu!F108)</f>
        <v>1406310</v>
      </c>
      <c r="G55" s="38">
        <f>ABS('Put you Data'!G55-calcu!G108)</f>
        <v>1987751</v>
      </c>
      <c r="H55" s="38">
        <f>ABS('Put you Data'!H55-calcu!H108)</f>
        <v>666860</v>
      </c>
      <c r="I55" s="38">
        <f>ABS('Put you Data'!I55-calcu!I108)</f>
        <v>853</v>
      </c>
      <c r="J55" s="38">
        <f>ABS('Put you Data'!J55-calcu!J108)</f>
        <v>32699</v>
      </c>
      <c r="K55" s="38">
        <f>ABS('Put you Data'!K55-calcu!K108)</f>
        <v>282199</v>
      </c>
      <c r="L55" s="38">
        <f>ABS('Put you Data'!L55-calcu!L108)</f>
        <v>953021</v>
      </c>
      <c r="M55" s="38">
        <f>ABS('Put you Data'!M55-calcu!M108)</f>
        <v>266352</v>
      </c>
      <c r="N55" s="38">
        <f>ABS('Put you Data'!N55-calcu!N108)</f>
        <v>36</v>
      </c>
      <c r="O55" s="38">
        <f>ABS('Put you Data'!O55-calcu!O108)</f>
        <v>0</v>
      </c>
      <c r="P55" s="37"/>
      <c r="R55" s="40">
        <v>11</v>
      </c>
      <c r="S55" s="38">
        <f>ABS('Put you Data'!S55-calcu!S108)</f>
        <v>50621</v>
      </c>
      <c r="T55" s="38">
        <f>ABS('Put you Data'!T55-calcu!T108)</f>
        <v>654731</v>
      </c>
      <c r="U55" s="38">
        <f>ABS('Put you Data'!U55-calcu!U108)</f>
        <v>394371</v>
      </c>
      <c r="V55" s="38">
        <f>ABS('Put you Data'!V55-calcu!V108)</f>
        <v>6585324</v>
      </c>
      <c r="W55" s="38">
        <f>ABS('Put you Data'!W55-calcu!W108)</f>
        <v>12821939</v>
      </c>
      <c r="X55" s="38">
        <f>ABS('Put you Data'!X55-calcu!X108)</f>
        <v>7155744</v>
      </c>
      <c r="Y55" s="38">
        <f>ABS('Put you Data'!Y55-calcu!Y108)</f>
        <v>5573216</v>
      </c>
      <c r="Z55" s="38">
        <f>ABS('Put you Data'!Z55-calcu!Z108)</f>
        <v>5210565</v>
      </c>
      <c r="AA55" s="38">
        <f>ABS('Put you Data'!AA55-calcu!AA108)</f>
        <v>5884591</v>
      </c>
      <c r="AB55" s="38">
        <f>ABS('Put you Data'!AB55-calcu!AB108)</f>
        <v>7324019</v>
      </c>
      <c r="AC55" s="38">
        <f>ABS('Put you Data'!AC55-calcu!AC108)</f>
        <v>1542240</v>
      </c>
      <c r="AD55" s="38">
        <f>ABS('Put you Data'!AD55-calcu!AD108)</f>
        <v>30976</v>
      </c>
      <c r="AE55" s="38">
        <f>ABS('Put you Data'!AE55-calcu!AE108)</f>
        <v>0</v>
      </c>
    </row>
    <row r="56" spans="2:33" x14ac:dyDescent="0.3">
      <c r="B56" s="40">
        <v>12</v>
      </c>
      <c r="C56" s="38">
        <f>ABS('Put you Data'!C56-calcu!C109)</f>
        <v>16851</v>
      </c>
      <c r="D56" s="38">
        <f>ABS('Put you Data'!D56-calcu!D109)</f>
        <v>18042</v>
      </c>
      <c r="E56" s="38">
        <f>ABS('Put you Data'!E56-calcu!E109)</f>
        <v>69112</v>
      </c>
      <c r="F56" s="38">
        <f>ABS('Put you Data'!F56-calcu!F109)</f>
        <v>198899</v>
      </c>
      <c r="G56" s="38">
        <f>ABS('Put you Data'!G56-calcu!G109)</f>
        <v>142559</v>
      </c>
      <c r="H56" s="38">
        <f>ABS('Put you Data'!H56-calcu!H109)</f>
        <v>12646</v>
      </c>
      <c r="I56" s="38">
        <f>ABS('Put you Data'!I56-calcu!I109)</f>
        <v>81</v>
      </c>
      <c r="J56" s="38">
        <f>ABS('Put you Data'!J56-calcu!J109)</f>
        <v>5</v>
      </c>
      <c r="K56" s="38">
        <f>ABS('Put you Data'!K56-calcu!K109)</f>
        <v>19187</v>
      </c>
      <c r="L56" s="38">
        <f>ABS('Put you Data'!L56-calcu!L109)</f>
        <v>66823</v>
      </c>
      <c r="M56" s="38">
        <f>ABS('Put you Data'!M56-calcu!M109)</f>
        <v>15008</v>
      </c>
      <c r="N56" s="38">
        <f>ABS('Put you Data'!N56-calcu!N109)</f>
        <v>1</v>
      </c>
      <c r="O56" s="38">
        <f>ABS('Put you Data'!O56-calcu!O109)</f>
        <v>0</v>
      </c>
      <c r="P56" s="37"/>
      <c r="R56" s="40">
        <v>12</v>
      </c>
      <c r="S56" s="38">
        <f>ABS('Put you Data'!S56-calcu!S109)</f>
        <v>176399</v>
      </c>
      <c r="T56" s="38">
        <f>ABS('Put you Data'!T56-calcu!T109)</f>
        <v>547409</v>
      </c>
      <c r="U56" s="38">
        <f>ABS('Put you Data'!U56-calcu!U109)</f>
        <v>623760</v>
      </c>
      <c r="V56" s="38">
        <f>ABS('Put you Data'!V56-calcu!V109)</f>
        <v>2038095</v>
      </c>
      <c r="W56" s="38">
        <f>ABS('Put you Data'!W56-calcu!W109)</f>
        <v>625672</v>
      </c>
      <c r="X56" s="38">
        <f>ABS('Put you Data'!X56-calcu!X109)</f>
        <v>269361</v>
      </c>
      <c r="Y56" s="38">
        <f>ABS('Put you Data'!Y56-calcu!Y109)</f>
        <v>243049</v>
      </c>
      <c r="Z56" s="38">
        <f>ABS('Put you Data'!Z56-calcu!Z109)</f>
        <v>221793</v>
      </c>
      <c r="AA56" s="38">
        <f>ABS('Put you Data'!AA56-calcu!AA109)</f>
        <v>216775</v>
      </c>
      <c r="AB56" s="38">
        <f>ABS('Put you Data'!AB56-calcu!AB109)</f>
        <v>298764</v>
      </c>
      <c r="AC56" s="38">
        <f>ABS('Put you Data'!AC56-calcu!AC109)</f>
        <v>85581</v>
      </c>
      <c r="AD56" s="38">
        <f>ABS('Put you Data'!AD56-calcu!AD109)</f>
        <v>2116</v>
      </c>
      <c r="AE56" s="38">
        <f>ABS('Put you Data'!AE56-calcu!AE109)</f>
        <v>0</v>
      </c>
    </row>
    <row r="57" spans="2:33" x14ac:dyDescent="0.3">
      <c r="B57" s="37"/>
      <c r="C57" s="37"/>
      <c r="D57" s="37"/>
      <c r="E57" s="37"/>
      <c r="F57" s="37" t="s">
        <v>25</v>
      </c>
      <c r="G57" s="37">
        <v>0.04</v>
      </c>
      <c r="H57" s="37"/>
      <c r="I57" s="37"/>
      <c r="J57" s="37"/>
      <c r="K57" s="37"/>
      <c r="L57" s="37"/>
      <c r="M57" s="37"/>
      <c r="N57" s="37"/>
      <c r="O57" s="37"/>
      <c r="P57" s="35">
        <f>SUM(C44:O56)</f>
        <v>115475011</v>
      </c>
      <c r="Q57" s="35" t="s">
        <v>41</v>
      </c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5">
        <f>SUM(S44:AE56)</f>
        <v>1442412104</v>
      </c>
      <c r="AG57" s="35" t="s">
        <v>41</v>
      </c>
    </row>
    <row r="58" spans="2:33" x14ac:dyDescent="0.3"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Q58" s="35">
        <f>IF(P57&lt;10,5,0)</f>
        <v>0</v>
      </c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G58" s="35">
        <f>IF(AF57&lt;10,5,0)</f>
        <v>0</v>
      </c>
    </row>
    <row r="59" spans="2:33" x14ac:dyDescent="0.3">
      <c r="B59" s="39" t="s">
        <v>37</v>
      </c>
      <c r="C59" s="37"/>
      <c r="D59" s="37" t="s">
        <v>24</v>
      </c>
      <c r="E59" s="39" t="s">
        <v>38</v>
      </c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R59" s="37"/>
      <c r="S59" s="37"/>
      <c r="T59" s="37" t="s">
        <v>24</v>
      </c>
      <c r="U59" s="37" t="s">
        <v>26</v>
      </c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2:33" x14ac:dyDescent="0.3">
      <c r="B60" s="37"/>
      <c r="C60" s="40">
        <v>0</v>
      </c>
      <c r="D60" s="40">
        <v>1</v>
      </c>
      <c r="E60" s="40">
        <v>2</v>
      </c>
      <c r="F60" s="40">
        <v>3</v>
      </c>
      <c r="G60" s="40">
        <v>4</v>
      </c>
      <c r="H60" s="40">
        <v>5</v>
      </c>
      <c r="I60" s="40">
        <v>6</v>
      </c>
      <c r="J60" s="40">
        <v>7</v>
      </c>
      <c r="K60" s="40">
        <v>8</v>
      </c>
      <c r="L60" s="40">
        <v>9</v>
      </c>
      <c r="M60" s="40">
        <v>10</v>
      </c>
      <c r="N60" s="40">
        <v>11</v>
      </c>
      <c r="O60" s="40">
        <v>12</v>
      </c>
      <c r="P60" s="37"/>
      <c r="R60" s="37"/>
      <c r="S60" s="40">
        <v>0</v>
      </c>
      <c r="T60" s="40">
        <v>1</v>
      </c>
      <c r="U60" s="40">
        <v>2</v>
      </c>
      <c r="V60" s="40">
        <v>3</v>
      </c>
      <c r="W60" s="40">
        <v>4</v>
      </c>
      <c r="X60" s="40">
        <v>5</v>
      </c>
      <c r="Y60" s="40">
        <v>6</v>
      </c>
      <c r="Z60" s="40">
        <v>7</v>
      </c>
      <c r="AA60" s="40">
        <v>8</v>
      </c>
      <c r="AB60" s="40">
        <v>9</v>
      </c>
      <c r="AC60" s="40">
        <v>10</v>
      </c>
      <c r="AD60" s="40">
        <v>11</v>
      </c>
      <c r="AE60" s="40">
        <v>12</v>
      </c>
    </row>
    <row r="61" spans="2:33" x14ac:dyDescent="0.3">
      <c r="B61" s="40">
        <v>0</v>
      </c>
      <c r="C61" s="38">
        <f>ABS('Put you Data'!C61-calcu!C116)</f>
        <v>0</v>
      </c>
      <c r="D61" s="38">
        <f>ABS('Put you Data'!D61-calcu!D116)</f>
        <v>1</v>
      </c>
      <c r="E61" s="38">
        <f>ABS('Put you Data'!E61-calcu!E116)</f>
        <v>1</v>
      </c>
      <c r="F61" s="38">
        <f>ABS('Put you Data'!F61-calcu!F116)</f>
        <v>0</v>
      </c>
      <c r="G61" s="38">
        <f>ABS('Put you Data'!G61-calcu!G116)</f>
        <v>1985</v>
      </c>
      <c r="H61" s="38">
        <f>ABS('Put you Data'!H61-calcu!H116)</f>
        <v>39228</v>
      </c>
      <c r="I61" s="38">
        <f>ABS('Put you Data'!I61-calcu!I116)</f>
        <v>12184</v>
      </c>
      <c r="J61" s="38">
        <f>ABS('Put you Data'!J61-calcu!J116)</f>
        <v>31</v>
      </c>
      <c r="K61" s="38">
        <f>ABS('Put you Data'!K61-calcu!K116)</f>
        <v>2</v>
      </c>
      <c r="L61" s="38">
        <f>ABS('Put you Data'!L61-calcu!L116)</f>
        <v>1</v>
      </c>
      <c r="M61" s="38">
        <f>ABS('Put you Data'!M61-calcu!M116)</f>
        <v>1</v>
      </c>
      <c r="N61" s="38">
        <f>ABS('Put you Data'!N61-calcu!N116)</f>
        <v>1</v>
      </c>
      <c r="O61" s="38">
        <f>ABS('Put you Data'!O61-calcu!O116)</f>
        <v>6</v>
      </c>
      <c r="P61" s="37"/>
      <c r="R61" s="40">
        <v>0</v>
      </c>
      <c r="S61" s="38">
        <f>ABS('Put you Data'!S61-calcu!S116)</f>
        <v>18</v>
      </c>
      <c r="T61" s="38">
        <f>ABS('Put you Data'!T61-calcu!T116)</f>
        <v>18</v>
      </c>
      <c r="U61" s="38">
        <f>ABS('Put you Data'!U61-calcu!U116)</f>
        <v>18</v>
      </c>
      <c r="V61" s="38">
        <f>ABS('Put you Data'!V61-calcu!V116)</f>
        <v>18</v>
      </c>
      <c r="W61" s="38">
        <f>ABS('Put you Data'!W61-calcu!W116)</f>
        <v>17</v>
      </c>
      <c r="X61" s="38">
        <f>ABS('Put you Data'!X61-calcu!X116)</f>
        <v>16</v>
      </c>
      <c r="Y61" s="38">
        <f>ABS('Put you Data'!Y61-calcu!Y116)</f>
        <v>17</v>
      </c>
      <c r="Z61" s="38">
        <f>ABS('Put you Data'!Z61-calcu!Z116)</f>
        <v>18</v>
      </c>
      <c r="AA61" s="38">
        <f>ABS('Put you Data'!AA61-calcu!AA116)</f>
        <v>18</v>
      </c>
      <c r="AB61" s="38">
        <f>ABS('Put you Data'!AB61-calcu!AB116)</f>
        <v>18</v>
      </c>
      <c r="AC61" s="38">
        <f>ABS('Put you Data'!AC61-calcu!AC116)</f>
        <v>18</v>
      </c>
      <c r="AD61" s="38">
        <f>ABS('Put you Data'!AD61-calcu!AD116)</f>
        <v>18</v>
      </c>
      <c r="AE61" s="38">
        <f>ABS('Put you Data'!AE61-calcu!AE116)</f>
        <v>18</v>
      </c>
    </row>
    <row r="62" spans="2:33" x14ac:dyDescent="0.3">
      <c r="B62" s="40">
        <v>1</v>
      </c>
      <c r="C62" s="38">
        <f>ABS('Put you Data'!C62-calcu!C117)</f>
        <v>1</v>
      </c>
      <c r="D62" s="38">
        <f>ABS('Put you Data'!D62-calcu!D117)</f>
        <v>0</v>
      </c>
      <c r="E62" s="38">
        <f>ABS('Put you Data'!E62-calcu!E117)</f>
        <v>0</v>
      </c>
      <c r="F62" s="38">
        <f>ABS('Put you Data'!F62-calcu!F117)</f>
        <v>1748</v>
      </c>
      <c r="G62" s="38">
        <f>ABS('Put you Data'!G62-calcu!G117)</f>
        <v>281197</v>
      </c>
      <c r="H62" s="38">
        <f>ABS('Put you Data'!H62-calcu!H117)</f>
        <v>457504</v>
      </c>
      <c r="I62" s="38">
        <f>ABS('Put you Data'!I62-calcu!I117)</f>
        <v>219731</v>
      </c>
      <c r="J62" s="38">
        <f>ABS('Put you Data'!J62-calcu!J117)</f>
        <v>1012</v>
      </c>
      <c r="K62" s="38">
        <f>ABS('Put you Data'!K62-calcu!K117)</f>
        <v>2</v>
      </c>
      <c r="L62" s="38">
        <f>ABS('Put you Data'!L62-calcu!L117)</f>
        <v>1</v>
      </c>
      <c r="M62" s="38">
        <f>ABS('Put you Data'!M62-calcu!M117)</f>
        <v>1</v>
      </c>
      <c r="N62" s="38">
        <f>ABS('Put you Data'!N62-calcu!N117)</f>
        <v>0</v>
      </c>
      <c r="O62" s="38">
        <f>ABS('Put you Data'!O62-calcu!O117)</f>
        <v>0</v>
      </c>
      <c r="P62" s="37"/>
      <c r="R62" s="40">
        <v>1</v>
      </c>
      <c r="S62" s="38">
        <f>ABS('Put you Data'!S62-calcu!S117)</f>
        <v>18</v>
      </c>
      <c r="T62" s="38">
        <f>ABS('Put you Data'!T62-calcu!T117)</f>
        <v>18</v>
      </c>
      <c r="U62" s="38">
        <f>ABS('Put you Data'!U62-calcu!U117)</f>
        <v>18</v>
      </c>
      <c r="V62" s="38">
        <f>ABS('Put you Data'!V62-calcu!V117)</f>
        <v>18</v>
      </c>
      <c r="W62" s="38">
        <f>ABS('Put you Data'!W62-calcu!W117)</f>
        <v>10</v>
      </c>
      <c r="X62" s="38">
        <f>ABS('Put you Data'!X62-calcu!X117)</f>
        <v>5</v>
      </c>
      <c r="Y62" s="38">
        <f>ABS('Put you Data'!Y62-calcu!Y117)</f>
        <v>11</v>
      </c>
      <c r="Z62" s="38">
        <f>ABS('Put you Data'!Z62-calcu!Z117)</f>
        <v>18</v>
      </c>
      <c r="AA62" s="38">
        <f>ABS('Put you Data'!AA62-calcu!AA117)</f>
        <v>18</v>
      </c>
      <c r="AB62" s="38">
        <f>ABS('Put you Data'!AB62-calcu!AB117)</f>
        <v>18</v>
      </c>
      <c r="AC62" s="38">
        <f>ABS('Put you Data'!AC62-calcu!AC117)</f>
        <v>18</v>
      </c>
      <c r="AD62" s="38">
        <f>ABS('Put you Data'!AD62-calcu!AD117)</f>
        <v>18</v>
      </c>
      <c r="AE62" s="38">
        <f>ABS('Put you Data'!AE62-calcu!AE117)</f>
        <v>18</v>
      </c>
    </row>
    <row r="63" spans="2:33" x14ac:dyDescent="0.3">
      <c r="B63" s="40">
        <v>2</v>
      </c>
      <c r="C63" s="38">
        <f>ABS('Put you Data'!C63-calcu!C118)</f>
        <v>1</v>
      </c>
      <c r="D63" s="38">
        <f>ABS('Put you Data'!D63-calcu!D118)</f>
        <v>2</v>
      </c>
      <c r="E63" s="38">
        <f>ABS('Put you Data'!E63-calcu!E118)</f>
        <v>1938</v>
      </c>
      <c r="F63" s="38">
        <f>ABS('Put you Data'!F63-calcu!F118)</f>
        <v>156185</v>
      </c>
      <c r="G63" s="38">
        <f>ABS('Put you Data'!G63-calcu!G118)</f>
        <v>906319</v>
      </c>
      <c r="H63" s="38">
        <f>ABS('Put you Data'!H63-calcu!H118)</f>
        <v>3605345</v>
      </c>
      <c r="I63" s="38">
        <f>ABS('Put you Data'!I63-calcu!I118)</f>
        <v>1340935</v>
      </c>
      <c r="J63" s="38">
        <f>ABS('Put you Data'!J63-calcu!J118)</f>
        <v>351414</v>
      </c>
      <c r="K63" s="38">
        <f>ABS('Put you Data'!K63-calcu!K118)</f>
        <v>59996</v>
      </c>
      <c r="L63" s="38">
        <f>ABS('Put you Data'!L63-calcu!L118)</f>
        <v>1076</v>
      </c>
      <c r="M63" s="38">
        <f>ABS('Put you Data'!M63-calcu!M118)</f>
        <v>0</v>
      </c>
      <c r="N63" s="38">
        <f>ABS('Put you Data'!N63-calcu!N118)</f>
        <v>1</v>
      </c>
      <c r="O63" s="38">
        <f>ABS('Put you Data'!O63-calcu!O118)</f>
        <v>2</v>
      </c>
      <c r="P63" s="37"/>
      <c r="R63" s="40">
        <v>2</v>
      </c>
      <c r="S63" s="38">
        <f>ABS('Put you Data'!S63-calcu!S118)</f>
        <v>18</v>
      </c>
      <c r="T63" s="38">
        <f>ABS('Put you Data'!T63-calcu!T118)</f>
        <v>18</v>
      </c>
      <c r="U63" s="38">
        <f>ABS('Put you Data'!U63-calcu!U118)</f>
        <v>18</v>
      </c>
      <c r="V63" s="38">
        <f>ABS('Put you Data'!V63-calcu!V118)</f>
        <v>22</v>
      </c>
      <c r="W63" s="38">
        <f>ABS('Put you Data'!W63-calcu!W118)</f>
        <v>7</v>
      </c>
      <c r="X63" s="38">
        <f>ABS('Put you Data'!X63-calcu!X118)</f>
        <v>77</v>
      </c>
      <c r="Y63" s="38">
        <f>ABS('Put you Data'!Y63-calcu!Y118)</f>
        <v>60</v>
      </c>
      <c r="Z63" s="38">
        <f>ABS('Put you Data'!Z63-calcu!Z118)</f>
        <v>30</v>
      </c>
      <c r="AA63" s="38">
        <f>ABS('Put you Data'!AA63-calcu!AA118)</f>
        <v>16</v>
      </c>
      <c r="AB63" s="38">
        <f>ABS('Put you Data'!AB63-calcu!AB118)</f>
        <v>18</v>
      </c>
      <c r="AC63" s="38">
        <f>ABS('Put you Data'!AC63-calcu!AC118)</f>
        <v>18</v>
      </c>
      <c r="AD63" s="38">
        <f>ABS('Put you Data'!AD63-calcu!AD118)</f>
        <v>18</v>
      </c>
      <c r="AE63" s="38">
        <f>ABS('Put you Data'!AE63-calcu!AE118)</f>
        <v>18</v>
      </c>
    </row>
    <row r="64" spans="2:33" x14ac:dyDescent="0.3">
      <c r="B64" s="40">
        <v>3</v>
      </c>
      <c r="C64" s="38">
        <f>ABS('Put you Data'!C64-calcu!C119)</f>
        <v>67</v>
      </c>
      <c r="D64" s="38">
        <f>ABS('Put you Data'!D64-calcu!D119)</f>
        <v>7123</v>
      </c>
      <c r="E64" s="38">
        <f>ABS('Put you Data'!E64-calcu!E119)</f>
        <v>342783</v>
      </c>
      <c r="F64" s="38">
        <f>ABS('Put you Data'!F64-calcu!F119)</f>
        <v>710776</v>
      </c>
      <c r="G64" s="38">
        <f>ABS('Put you Data'!G64-calcu!G119)</f>
        <v>582073</v>
      </c>
      <c r="H64" s="38">
        <f>ABS('Put you Data'!H64-calcu!H119)</f>
        <v>1783503</v>
      </c>
      <c r="I64" s="38">
        <f>ABS('Put you Data'!I64-calcu!I119)</f>
        <v>5782382</v>
      </c>
      <c r="J64" s="38">
        <f>ABS('Put you Data'!J64-calcu!J119)</f>
        <v>1217871</v>
      </c>
      <c r="K64" s="38">
        <f>ABS('Put you Data'!K64-calcu!K119)</f>
        <v>3082601</v>
      </c>
      <c r="L64" s="38">
        <f>ABS('Put you Data'!L64-calcu!L119)</f>
        <v>560568</v>
      </c>
      <c r="M64" s="38">
        <f>ABS('Put you Data'!M64-calcu!M119)</f>
        <v>210</v>
      </c>
      <c r="N64" s="38">
        <f>ABS('Put you Data'!N64-calcu!N119)</f>
        <v>0</v>
      </c>
      <c r="O64" s="38">
        <f>ABS('Put you Data'!O64-calcu!O119)</f>
        <v>0</v>
      </c>
      <c r="P64" s="37"/>
      <c r="R64" s="40">
        <v>3</v>
      </c>
      <c r="S64" s="38">
        <f>ABS('Put you Data'!S64-calcu!S119)</f>
        <v>18</v>
      </c>
      <c r="T64" s="38">
        <f>ABS('Put you Data'!T64-calcu!T119)</f>
        <v>17</v>
      </c>
      <c r="U64" s="38">
        <f>ABS('Put you Data'!U64-calcu!U119)</f>
        <v>8</v>
      </c>
      <c r="V64" s="38">
        <f>ABS('Put you Data'!V64-calcu!V119)</f>
        <v>36</v>
      </c>
      <c r="W64" s="38">
        <f>ABS('Put you Data'!W64-calcu!W119)</f>
        <v>31</v>
      </c>
      <c r="X64" s="38">
        <f>ABS('Put you Data'!X64-calcu!X119)</f>
        <v>27</v>
      </c>
      <c r="Y64" s="38">
        <f>ABS('Put you Data'!Y64-calcu!Y119)</f>
        <v>230</v>
      </c>
      <c r="Z64" s="38">
        <f>ABS('Put you Data'!Z64-calcu!Z119)</f>
        <v>14</v>
      </c>
      <c r="AA64" s="38">
        <f>ABS('Put you Data'!AA64-calcu!AA119)</f>
        <v>68</v>
      </c>
      <c r="AB64" s="38">
        <f>ABS('Put you Data'!AB64-calcu!AB119)</f>
        <v>2</v>
      </c>
      <c r="AC64" s="38">
        <f>ABS('Put you Data'!AC64-calcu!AC119)</f>
        <v>18</v>
      </c>
      <c r="AD64" s="38">
        <f>ABS('Put you Data'!AD64-calcu!AD119)</f>
        <v>18</v>
      </c>
      <c r="AE64" s="38">
        <f>ABS('Put you Data'!AE64-calcu!AE119)</f>
        <v>18</v>
      </c>
    </row>
    <row r="65" spans="2:33" x14ac:dyDescent="0.3">
      <c r="B65" s="40">
        <v>4</v>
      </c>
      <c r="C65" s="38">
        <f>ABS('Put you Data'!C65-calcu!C120)</f>
        <v>4225</v>
      </c>
      <c r="D65" s="38">
        <f>ABS('Put you Data'!D65-calcu!D120)</f>
        <v>194175</v>
      </c>
      <c r="E65" s="38">
        <f>ABS('Put you Data'!E65-calcu!E120)</f>
        <v>2011282</v>
      </c>
      <c r="F65" s="38">
        <f>ABS('Put you Data'!F65-calcu!F120)</f>
        <v>2447391</v>
      </c>
      <c r="G65" s="38">
        <f>ABS('Put you Data'!G65-calcu!G120)</f>
        <v>968807</v>
      </c>
      <c r="H65" s="38">
        <f>ABS('Put you Data'!H65-calcu!H120)</f>
        <v>1170443</v>
      </c>
      <c r="I65" s="38">
        <f>ABS('Put you Data'!I65-calcu!I120)</f>
        <v>1514625</v>
      </c>
      <c r="J65" s="38">
        <f>ABS('Put you Data'!J65-calcu!J120)</f>
        <v>4144286</v>
      </c>
      <c r="K65" s="38">
        <f>ABS('Put you Data'!K65-calcu!K120)</f>
        <v>6782160</v>
      </c>
      <c r="L65" s="38">
        <f>ABS('Put you Data'!L65-calcu!L120)</f>
        <v>387952</v>
      </c>
      <c r="M65" s="38">
        <f>ABS('Put you Data'!M65-calcu!M120)</f>
        <v>379925</v>
      </c>
      <c r="N65" s="38">
        <f>ABS('Put you Data'!N65-calcu!N120)</f>
        <v>491</v>
      </c>
      <c r="O65" s="38">
        <f>ABS('Put you Data'!O65-calcu!O120)</f>
        <v>0</v>
      </c>
      <c r="P65" s="37"/>
      <c r="R65" s="40">
        <v>4</v>
      </c>
      <c r="S65" s="38">
        <f>ABS('Put you Data'!S65-calcu!S120)</f>
        <v>18</v>
      </c>
      <c r="T65" s="38">
        <f>ABS('Put you Data'!T65-calcu!T120)</f>
        <v>12</v>
      </c>
      <c r="U65" s="38">
        <f>ABS('Put you Data'!U65-calcu!U120)</f>
        <v>37</v>
      </c>
      <c r="V65" s="38">
        <f>ABS('Put you Data'!V65-calcu!V120)</f>
        <v>44</v>
      </c>
      <c r="W65" s="38">
        <f>ABS('Put you Data'!W65-calcu!W120)</f>
        <v>22</v>
      </c>
      <c r="X65" s="38">
        <f>ABS('Put you Data'!X65-calcu!X120)</f>
        <v>30</v>
      </c>
      <c r="Y65" s="38">
        <f>ABS('Put you Data'!Y65-calcu!Y120)</f>
        <v>86</v>
      </c>
      <c r="Z65" s="38">
        <f>ABS('Put you Data'!Z65-calcu!Z120)</f>
        <v>110</v>
      </c>
      <c r="AA65" s="38">
        <f>ABS('Put you Data'!AA65-calcu!AA120)</f>
        <v>156</v>
      </c>
      <c r="AB65" s="38">
        <f>ABS('Put you Data'!AB65-calcu!AB120)</f>
        <v>33</v>
      </c>
      <c r="AC65" s="38">
        <f>ABS('Put you Data'!AC65-calcu!AC120)</f>
        <v>33</v>
      </c>
      <c r="AD65" s="38">
        <f>ABS('Put you Data'!AD65-calcu!AD120)</f>
        <v>18</v>
      </c>
      <c r="AE65" s="38">
        <f>ABS('Put you Data'!AE65-calcu!AE120)</f>
        <v>18</v>
      </c>
    </row>
    <row r="66" spans="2:33" x14ac:dyDescent="0.3">
      <c r="B66" s="40">
        <v>5</v>
      </c>
      <c r="C66" s="38">
        <f>ABS('Put you Data'!C66-calcu!C121)</f>
        <v>1177</v>
      </c>
      <c r="D66" s="38">
        <f>ABS('Put you Data'!D66-calcu!D121)</f>
        <v>295290</v>
      </c>
      <c r="E66" s="38">
        <f>ABS('Put you Data'!E66-calcu!E121)</f>
        <v>81824</v>
      </c>
      <c r="F66" s="38">
        <f>ABS('Put you Data'!F66-calcu!F121)</f>
        <v>847246</v>
      </c>
      <c r="G66" s="38">
        <f>ABS('Put you Data'!G66-calcu!G121)</f>
        <v>2616430</v>
      </c>
      <c r="H66" s="38">
        <f>ABS('Put you Data'!H66-calcu!H121)</f>
        <v>3099</v>
      </c>
      <c r="I66" s="38">
        <f>ABS('Put you Data'!I66-calcu!I121)</f>
        <v>52708</v>
      </c>
      <c r="J66" s="38">
        <f>ABS('Put you Data'!J66-calcu!J121)</f>
        <v>602193</v>
      </c>
      <c r="K66" s="38">
        <f>ABS('Put you Data'!K66-calcu!K121)</f>
        <v>633062</v>
      </c>
      <c r="L66" s="38">
        <f>ABS('Put you Data'!L66-calcu!L121)</f>
        <v>4742427</v>
      </c>
      <c r="M66" s="38">
        <f>ABS('Put you Data'!M66-calcu!M121)</f>
        <v>1299268</v>
      </c>
      <c r="N66" s="38">
        <f>ABS('Put you Data'!N66-calcu!N121)</f>
        <v>17349</v>
      </c>
      <c r="O66" s="38">
        <f>ABS('Put you Data'!O66-calcu!O121)</f>
        <v>0</v>
      </c>
      <c r="P66" s="37"/>
      <c r="R66" s="40">
        <v>5</v>
      </c>
      <c r="S66" s="38">
        <f>ABS('Put you Data'!S66-calcu!S121)</f>
        <v>18</v>
      </c>
      <c r="T66" s="38">
        <f>ABS('Put you Data'!T66-calcu!T121)</f>
        <v>10</v>
      </c>
      <c r="U66" s="38">
        <f>ABS('Put you Data'!U66-calcu!U121)</f>
        <v>21</v>
      </c>
      <c r="V66" s="38">
        <f>ABS('Put you Data'!V66-calcu!V121)</f>
        <v>66</v>
      </c>
      <c r="W66" s="38">
        <f>ABS('Put you Data'!W66-calcu!W121)</f>
        <v>125</v>
      </c>
      <c r="X66" s="38">
        <f>ABS('Put you Data'!X66-calcu!X121)</f>
        <v>17</v>
      </c>
      <c r="Y66" s="38">
        <f>ABS('Put you Data'!Y66-calcu!Y121)</f>
        <v>20</v>
      </c>
      <c r="Z66" s="38">
        <f>ABS('Put you Data'!Z66-calcu!Z121)</f>
        <v>3</v>
      </c>
      <c r="AA66" s="38">
        <f>ABS('Put you Data'!AA66-calcu!AA121)</f>
        <v>29</v>
      </c>
      <c r="AB66" s="38">
        <f>ABS('Put you Data'!AB66-calcu!AB121)</f>
        <v>213</v>
      </c>
      <c r="AC66" s="38">
        <f>ABS('Put you Data'!AC66-calcu!AC121)</f>
        <v>73</v>
      </c>
      <c r="AD66" s="38">
        <f>ABS('Put you Data'!AD66-calcu!AD121)</f>
        <v>17</v>
      </c>
      <c r="AE66" s="38">
        <f>ABS('Put you Data'!AE66-calcu!AE121)</f>
        <v>18</v>
      </c>
    </row>
    <row r="67" spans="2:33" x14ac:dyDescent="0.3">
      <c r="B67" s="40">
        <v>6</v>
      </c>
      <c r="C67" s="38">
        <f>ABS('Put you Data'!C67-calcu!C122)</f>
        <v>2720</v>
      </c>
      <c r="D67" s="38">
        <f>ABS('Put you Data'!D67-calcu!D122)</f>
        <v>21054</v>
      </c>
      <c r="E67" s="38">
        <f>ABS('Put you Data'!E67-calcu!E122)</f>
        <v>1626621</v>
      </c>
      <c r="F67" s="38">
        <f>ABS('Put you Data'!F67-calcu!F122)</f>
        <v>1520299</v>
      </c>
      <c r="G67" s="38">
        <f>ABS('Put you Data'!G67-calcu!G122)</f>
        <v>1146299</v>
      </c>
      <c r="H67" s="38">
        <f>ABS('Put you Data'!H67-calcu!H122)</f>
        <v>46146</v>
      </c>
      <c r="I67" s="38">
        <f>ABS('Put you Data'!I67-calcu!I122)</f>
        <v>0</v>
      </c>
      <c r="J67" s="38">
        <f>ABS('Put you Data'!J67-calcu!J122)</f>
        <v>51990</v>
      </c>
      <c r="K67" s="38">
        <f>ABS('Put you Data'!K67-calcu!K122)</f>
        <v>1749364</v>
      </c>
      <c r="L67" s="38">
        <f>ABS('Put you Data'!L67-calcu!L122)</f>
        <v>2858840</v>
      </c>
      <c r="M67" s="38">
        <f>ABS('Put you Data'!M67-calcu!M122)</f>
        <v>165697</v>
      </c>
      <c r="N67" s="38">
        <f>ABS('Put you Data'!N67-calcu!N122)</f>
        <v>28494</v>
      </c>
      <c r="O67" s="38">
        <f>ABS('Put you Data'!O67-calcu!O122)</f>
        <v>2</v>
      </c>
      <c r="P67" s="37"/>
      <c r="R67" s="40">
        <v>6</v>
      </c>
      <c r="S67" s="38">
        <f>ABS('Put you Data'!S67-calcu!S122)</f>
        <v>18</v>
      </c>
      <c r="T67" s="38">
        <f>ABS('Put you Data'!T67-calcu!T122)</f>
        <v>17</v>
      </c>
      <c r="U67" s="38">
        <f>ABS('Put you Data'!U67-calcu!U122)</f>
        <v>65</v>
      </c>
      <c r="V67" s="38">
        <f>ABS('Put you Data'!V67-calcu!V122)</f>
        <v>59</v>
      </c>
      <c r="W67" s="38">
        <f>ABS('Put you Data'!W67-calcu!W122)</f>
        <v>63</v>
      </c>
      <c r="X67" s="38">
        <f>ABS('Put you Data'!X67-calcu!X122)</f>
        <v>20</v>
      </c>
      <c r="Y67" s="38">
        <f>ABS('Put you Data'!Y67-calcu!Y122)</f>
        <v>18</v>
      </c>
      <c r="Z67" s="38">
        <f>ABS('Put you Data'!Z67-calcu!Z122)</f>
        <v>19</v>
      </c>
      <c r="AA67" s="38">
        <f>ABS('Put you Data'!AA67-calcu!AA122)</f>
        <v>71</v>
      </c>
      <c r="AB67" s="38">
        <f>ABS('Put you Data'!AB67-calcu!AB122)</f>
        <v>118</v>
      </c>
      <c r="AC67" s="38">
        <f>ABS('Put you Data'!AC67-calcu!AC122)</f>
        <v>9</v>
      </c>
      <c r="AD67" s="38">
        <f>ABS('Put you Data'!AD67-calcu!AD122)</f>
        <v>16</v>
      </c>
      <c r="AE67" s="38">
        <f>ABS('Put you Data'!AE67-calcu!AE122)</f>
        <v>18</v>
      </c>
    </row>
    <row r="68" spans="2:33" x14ac:dyDescent="0.3">
      <c r="B68" s="40">
        <v>7</v>
      </c>
      <c r="C68" s="38">
        <f>ABS('Put you Data'!C68-calcu!C123)</f>
        <v>27</v>
      </c>
      <c r="D68" s="38">
        <f>ABS('Put you Data'!D68-calcu!D123)</f>
        <v>67899</v>
      </c>
      <c r="E68" s="38">
        <f>ABS('Put you Data'!E68-calcu!E123)</f>
        <v>1716580</v>
      </c>
      <c r="F68" s="38">
        <f>ABS('Put you Data'!F68-calcu!F123)</f>
        <v>298420</v>
      </c>
      <c r="G68" s="38">
        <f>ABS('Put you Data'!G68-calcu!G123)</f>
        <v>1461718</v>
      </c>
      <c r="H68" s="38">
        <f>ABS('Put you Data'!H68-calcu!H123)</f>
        <v>61036</v>
      </c>
      <c r="I68" s="38">
        <f>ABS('Put you Data'!I68-calcu!I123)</f>
        <v>2</v>
      </c>
      <c r="J68" s="38">
        <f>ABS('Put you Data'!J68-calcu!J123)</f>
        <v>49351</v>
      </c>
      <c r="K68" s="38">
        <f>ABS('Put you Data'!K68-calcu!K123)</f>
        <v>1251604</v>
      </c>
      <c r="L68" s="38">
        <f>ABS('Put you Data'!L68-calcu!L123)</f>
        <v>570041</v>
      </c>
      <c r="M68" s="38">
        <f>ABS('Put you Data'!M68-calcu!M123)</f>
        <v>666826</v>
      </c>
      <c r="N68" s="38">
        <f>ABS('Put you Data'!N68-calcu!N123)</f>
        <v>28441</v>
      </c>
      <c r="O68" s="38">
        <f>ABS('Put you Data'!O68-calcu!O123)</f>
        <v>0</v>
      </c>
      <c r="P68" s="37"/>
      <c r="R68" s="40">
        <v>7</v>
      </c>
      <c r="S68" s="38">
        <f>ABS('Put you Data'!S68-calcu!S123)</f>
        <v>18</v>
      </c>
      <c r="T68" s="38">
        <f>ABS('Put you Data'!T68-calcu!T123)</f>
        <v>19</v>
      </c>
      <c r="U68" s="38">
        <f>ABS('Put you Data'!U68-calcu!U123)</f>
        <v>64</v>
      </c>
      <c r="V68" s="38">
        <f>ABS('Put you Data'!V68-calcu!V123)</f>
        <v>6</v>
      </c>
      <c r="W68" s="38">
        <f>ABS('Put you Data'!W68-calcu!W123)</f>
        <v>45</v>
      </c>
      <c r="X68" s="38">
        <f>ABS('Put you Data'!X68-calcu!X123)</f>
        <v>15</v>
      </c>
      <c r="Y68" s="38">
        <f>ABS('Put you Data'!Y68-calcu!Y123)</f>
        <v>18</v>
      </c>
      <c r="Z68" s="38">
        <f>ABS('Put you Data'!Z68-calcu!Z123)</f>
        <v>19</v>
      </c>
      <c r="AA68" s="38">
        <f>ABS('Put you Data'!AA68-calcu!AA123)</f>
        <v>50</v>
      </c>
      <c r="AB68" s="38">
        <f>ABS('Put you Data'!AB68-calcu!AB123)</f>
        <v>22</v>
      </c>
      <c r="AC68" s="38">
        <f>ABS('Put you Data'!AC68-calcu!AC123)</f>
        <v>13</v>
      </c>
      <c r="AD68" s="38">
        <f>ABS('Put you Data'!AD68-calcu!AD123)</f>
        <v>16</v>
      </c>
      <c r="AE68" s="38">
        <f>ABS('Put you Data'!AE68-calcu!AE123)</f>
        <v>18</v>
      </c>
    </row>
    <row r="69" spans="2:33" x14ac:dyDescent="0.3">
      <c r="B69" s="40">
        <v>8</v>
      </c>
      <c r="C69" s="38">
        <f>ABS('Put you Data'!C69-calcu!C124)</f>
        <v>1</v>
      </c>
      <c r="D69" s="38">
        <f>ABS('Put you Data'!D69-calcu!D124)</f>
        <v>62959</v>
      </c>
      <c r="E69" s="38">
        <f>ABS('Put you Data'!E69-calcu!E124)</f>
        <v>970539</v>
      </c>
      <c r="F69" s="38">
        <f>ABS('Put you Data'!F69-calcu!F124)</f>
        <v>2732297</v>
      </c>
      <c r="G69" s="38">
        <f>ABS('Put you Data'!G69-calcu!G124)</f>
        <v>2271242</v>
      </c>
      <c r="H69" s="38">
        <f>ABS('Put you Data'!H69-calcu!H124)</f>
        <v>45466</v>
      </c>
      <c r="I69" s="38">
        <f>ABS('Put you Data'!I69-calcu!I124)</f>
        <v>16253</v>
      </c>
      <c r="J69" s="38">
        <f>ABS('Put you Data'!J69-calcu!J124)</f>
        <v>577629</v>
      </c>
      <c r="K69" s="38">
        <f>ABS('Put you Data'!K69-calcu!K124)</f>
        <v>1173536</v>
      </c>
      <c r="L69" s="38">
        <f>ABS('Put you Data'!L69-calcu!L124)</f>
        <v>23176</v>
      </c>
      <c r="M69" s="38">
        <f>ABS('Put you Data'!M69-calcu!M124)</f>
        <v>659864</v>
      </c>
      <c r="N69" s="38">
        <f>ABS('Put you Data'!N69-calcu!N124)</f>
        <v>28059</v>
      </c>
      <c r="O69" s="38">
        <f>ABS('Put you Data'!O69-calcu!O124)</f>
        <v>0</v>
      </c>
      <c r="P69" s="37"/>
      <c r="R69" s="40">
        <v>8</v>
      </c>
      <c r="S69" s="38">
        <f>ABS('Put you Data'!S69-calcu!S124)</f>
        <v>18</v>
      </c>
      <c r="T69" s="38">
        <f>ABS('Put you Data'!T69-calcu!T124)</f>
        <v>19</v>
      </c>
      <c r="U69" s="38">
        <f>ABS('Put you Data'!U69-calcu!U124)</f>
        <v>43</v>
      </c>
      <c r="V69" s="38">
        <f>ABS('Put you Data'!V69-calcu!V124)</f>
        <v>81</v>
      </c>
      <c r="W69" s="38">
        <f>ABS('Put you Data'!W69-calcu!W124)</f>
        <v>68</v>
      </c>
      <c r="X69" s="38">
        <f>ABS('Put you Data'!X69-calcu!X124)</f>
        <v>15</v>
      </c>
      <c r="Y69" s="38">
        <f>ABS('Put you Data'!Y69-calcu!Y124)</f>
        <v>18</v>
      </c>
      <c r="Z69" s="38">
        <f>ABS('Put you Data'!Z69-calcu!Z124)</f>
        <v>2</v>
      </c>
      <c r="AA69" s="38">
        <f>ABS('Put you Data'!AA69-calcu!AA124)</f>
        <v>16</v>
      </c>
      <c r="AB69" s="38">
        <f>ABS('Put you Data'!AB69-calcu!AB124)</f>
        <v>5</v>
      </c>
      <c r="AC69" s="38">
        <f>ABS('Put you Data'!AC69-calcu!AC124)</f>
        <v>12</v>
      </c>
      <c r="AD69" s="38">
        <f>ABS('Put you Data'!AD69-calcu!AD124)</f>
        <v>16</v>
      </c>
      <c r="AE69" s="38">
        <f>ABS('Put you Data'!AE69-calcu!AE124)</f>
        <v>18</v>
      </c>
    </row>
    <row r="70" spans="2:33" x14ac:dyDescent="0.3">
      <c r="B70" s="40">
        <v>9</v>
      </c>
      <c r="C70" s="38">
        <f>ABS('Put you Data'!C70-calcu!C125)</f>
        <v>2</v>
      </c>
      <c r="D70" s="38">
        <f>ABS('Put you Data'!D70-calcu!D125)</f>
        <v>30672</v>
      </c>
      <c r="E70" s="38">
        <f>ABS('Put you Data'!E70-calcu!E125)</f>
        <v>1193522</v>
      </c>
      <c r="F70" s="38">
        <f>ABS('Put you Data'!F70-calcu!F125)</f>
        <v>6070046</v>
      </c>
      <c r="G70" s="38">
        <f>ABS('Put you Data'!G70-calcu!G125)</f>
        <v>1906603</v>
      </c>
      <c r="H70" s="38">
        <f>ABS('Put you Data'!H70-calcu!H125)</f>
        <v>900024</v>
      </c>
      <c r="I70" s="38">
        <f>ABS('Put you Data'!I70-calcu!I125)</f>
        <v>420585</v>
      </c>
      <c r="J70" s="38">
        <f>ABS('Put you Data'!J70-calcu!J125)</f>
        <v>1884079</v>
      </c>
      <c r="K70" s="38">
        <f>ABS('Put you Data'!K70-calcu!K125)</f>
        <v>3906567</v>
      </c>
      <c r="L70" s="38">
        <f>ABS('Put you Data'!L70-calcu!L125)</f>
        <v>339551</v>
      </c>
      <c r="M70" s="38">
        <f>ABS('Put you Data'!M70-calcu!M125)</f>
        <v>398490</v>
      </c>
      <c r="N70" s="38">
        <f>ABS('Put you Data'!N70-calcu!N125)</f>
        <v>27110</v>
      </c>
      <c r="O70" s="38">
        <f>ABS('Put you Data'!O70-calcu!O125)</f>
        <v>1</v>
      </c>
      <c r="P70" s="37"/>
      <c r="R70" s="40">
        <v>9</v>
      </c>
      <c r="S70" s="38">
        <f>ABS('Put you Data'!S70-calcu!S125)</f>
        <v>18</v>
      </c>
      <c r="T70" s="38">
        <f>ABS('Put you Data'!T70-calcu!T125)</f>
        <v>18</v>
      </c>
      <c r="U70" s="38">
        <f>ABS('Put you Data'!U70-calcu!U125)</f>
        <v>16</v>
      </c>
      <c r="V70" s="38">
        <f>ABS('Put you Data'!V70-calcu!V125)</f>
        <v>164</v>
      </c>
      <c r="W70" s="38">
        <f>ABS('Put you Data'!W70-calcu!W125)</f>
        <v>28</v>
      </c>
      <c r="X70" s="38">
        <f>ABS('Put you Data'!X70-calcu!X125)</f>
        <v>49</v>
      </c>
      <c r="Y70" s="38">
        <f>ABS('Put you Data'!Y70-calcu!Y125)</f>
        <v>28</v>
      </c>
      <c r="Z70" s="38">
        <f>ABS('Put you Data'!Z70-calcu!Z125)</f>
        <v>34</v>
      </c>
      <c r="AA70" s="38">
        <f>ABS('Put you Data'!AA70-calcu!AA125)</f>
        <v>84</v>
      </c>
      <c r="AB70" s="38">
        <f>ABS('Put you Data'!AB70-calcu!AB125)</f>
        <v>16</v>
      </c>
      <c r="AC70" s="38">
        <f>ABS('Put you Data'!AC70-calcu!AC125)</f>
        <v>1</v>
      </c>
      <c r="AD70" s="38">
        <f>ABS('Put you Data'!AD70-calcu!AD125)</f>
        <v>17</v>
      </c>
      <c r="AE70" s="38">
        <f>ABS('Put you Data'!AE70-calcu!AE125)</f>
        <v>18</v>
      </c>
    </row>
    <row r="71" spans="2:33" x14ac:dyDescent="0.3">
      <c r="B71" s="40">
        <v>10</v>
      </c>
      <c r="C71" s="38">
        <f>ABS('Put you Data'!C71-calcu!C126)</f>
        <v>39</v>
      </c>
      <c r="D71" s="38">
        <f>ABS('Put you Data'!D71-calcu!D126)</f>
        <v>16277</v>
      </c>
      <c r="E71" s="38">
        <f>ABS('Put you Data'!E71-calcu!E126)</f>
        <v>890978</v>
      </c>
      <c r="F71" s="38">
        <f>ABS('Put you Data'!F71-calcu!F126)</f>
        <v>713737</v>
      </c>
      <c r="G71" s="38">
        <f>ABS('Put you Data'!G71-calcu!G126)</f>
        <v>2921683</v>
      </c>
      <c r="H71" s="38">
        <f>ABS('Put you Data'!H71-calcu!H126)</f>
        <v>2091770</v>
      </c>
      <c r="I71" s="38">
        <f>ABS('Put you Data'!I71-calcu!I126)</f>
        <v>218119</v>
      </c>
      <c r="J71" s="38">
        <f>ABS('Put you Data'!J71-calcu!J126)</f>
        <v>413305</v>
      </c>
      <c r="K71" s="38">
        <f>ABS('Put you Data'!K71-calcu!K126)</f>
        <v>40868</v>
      </c>
      <c r="L71" s="38">
        <f>ABS('Put you Data'!L71-calcu!L126)</f>
        <v>1999101</v>
      </c>
      <c r="M71" s="38">
        <f>ABS('Put you Data'!M71-calcu!M126)</f>
        <v>451499</v>
      </c>
      <c r="N71" s="38">
        <f>ABS('Put you Data'!N71-calcu!N126)</f>
        <v>17436</v>
      </c>
      <c r="O71" s="38">
        <f>ABS('Put you Data'!O71-calcu!O126)</f>
        <v>0</v>
      </c>
      <c r="P71" s="37"/>
      <c r="R71" s="40">
        <v>10</v>
      </c>
      <c r="S71" s="38">
        <f>ABS('Put you Data'!S71-calcu!S126)</f>
        <v>18</v>
      </c>
      <c r="T71" s="38">
        <f>ABS('Put you Data'!T71-calcu!T126)</f>
        <v>17</v>
      </c>
      <c r="U71" s="38">
        <f>ABS('Put you Data'!U71-calcu!U126)</f>
        <v>7</v>
      </c>
      <c r="V71" s="38">
        <f>ABS('Put you Data'!V71-calcu!V126)</f>
        <v>10</v>
      </c>
      <c r="W71" s="38">
        <f>ABS('Put you Data'!W71-calcu!W126)</f>
        <v>147</v>
      </c>
      <c r="X71" s="38">
        <f>ABS('Put you Data'!X71-calcu!X126)</f>
        <v>100</v>
      </c>
      <c r="Y71" s="38">
        <f>ABS('Put you Data'!Y71-calcu!Y126)</f>
        <v>20</v>
      </c>
      <c r="Z71" s="38">
        <f>ABS('Put you Data'!Z71-calcu!Z126)</f>
        <v>2</v>
      </c>
      <c r="AA71" s="38">
        <f>ABS('Put you Data'!AA71-calcu!AA126)</f>
        <v>33</v>
      </c>
      <c r="AB71" s="38">
        <f>ABS('Put you Data'!AB71-calcu!AB126)</f>
        <v>109</v>
      </c>
      <c r="AC71" s="38">
        <f>ABS('Put you Data'!AC71-calcu!AC126)</f>
        <v>37</v>
      </c>
      <c r="AD71" s="38">
        <f>ABS('Put you Data'!AD71-calcu!AD126)</f>
        <v>17</v>
      </c>
      <c r="AE71" s="38">
        <f>ABS('Put you Data'!AE71-calcu!AE126)</f>
        <v>18</v>
      </c>
    </row>
    <row r="72" spans="2:33" x14ac:dyDescent="0.3">
      <c r="B72" s="40">
        <v>11</v>
      </c>
      <c r="C72" s="38">
        <f>ABS('Put you Data'!C72-calcu!C127)</f>
        <v>2352</v>
      </c>
      <c r="D72" s="38">
        <f>ABS('Put you Data'!D72-calcu!D127)</f>
        <v>20096</v>
      </c>
      <c r="E72" s="38">
        <f>ABS('Put you Data'!E72-calcu!E127)</f>
        <v>22723</v>
      </c>
      <c r="F72" s="38">
        <f>ABS('Put you Data'!F72-calcu!F127)</f>
        <v>1142897</v>
      </c>
      <c r="G72" s="38">
        <f>ABS('Put you Data'!G72-calcu!G127)</f>
        <v>1474873</v>
      </c>
      <c r="H72" s="38">
        <f>ABS('Put you Data'!H72-calcu!H127)</f>
        <v>380630</v>
      </c>
      <c r="I72" s="38">
        <f>ABS('Put you Data'!I72-calcu!I127)</f>
        <v>222076</v>
      </c>
      <c r="J72" s="38">
        <f>ABS('Put you Data'!J72-calcu!J127)</f>
        <v>241121</v>
      </c>
      <c r="K72" s="38">
        <f>ABS('Put you Data'!K72-calcu!K127)</f>
        <v>46816</v>
      </c>
      <c r="L72" s="38">
        <f>ABS('Put you Data'!L72-calcu!L127)</f>
        <v>660061</v>
      </c>
      <c r="M72" s="38">
        <f>ABS('Put you Data'!M72-calcu!M127)</f>
        <v>204662</v>
      </c>
      <c r="N72" s="38">
        <f>ABS('Put you Data'!N72-calcu!N127)</f>
        <v>1276</v>
      </c>
      <c r="O72" s="38">
        <f>ABS('Put you Data'!O72-calcu!O127)</f>
        <v>0</v>
      </c>
      <c r="P72" s="37"/>
      <c r="R72" s="40">
        <v>11</v>
      </c>
      <c r="S72" s="38">
        <f>ABS('Put you Data'!S72-calcu!S127)</f>
        <v>17</v>
      </c>
      <c r="T72" s="38">
        <f>ABS('Put you Data'!T72-calcu!T127)</f>
        <v>18</v>
      </c>
      <c r="U72" s="38">
        <f>ABS('Put you Data'!U72-calcu!U127)</f>
        <v>17</v>
      </c>
      <c r="V72" s="38">
        <f>ABS('Put you Data'!V72-calcu!V127)</f>
        <v>64</v>
      </c>
      <c r="W72" s="38">
        <f>ABS('Put you Data'!W72-calcu!W127)</f>
        <v>79</v>
      </c>
      <c r="X72" s="38">
        <f>ABS('Put you Data'!X72-calcu!X127)</f>
        <v>34</v>
      </c>
      <c r="Y72" s="38">
        <f>ABS('Put you Data'!Y72-calcu!Y127)</f>
        <v>7</v>
      </c>
      <c r="Z72" s="38">
        <f>ABS('Put you Data'!Z72-calcu!Z127)</f>
        <v>7</v>
      </c>
      <c r="AA72" s="38">
        <f>ABS('Put you Data'!AA72-calcu!AA127)</f>
        <v>20</v>
      </c>
      <c r="AB72" s="38">
        <f>ABS('Put you Data'!AB72-calcu!AB127)</f>
        <v>45</v>
      </c>
      <c r="AC72" s="38">
        <f>ABS('Put you Data'!AC72-calcu!AC127)</f>
        <v>26</v>
      </c>
      <c r="AD72" s="38">
        <f>ABS('Put you Data'!AD72-calcu!AD127)</f>
        <v>18</v>
      </c>
      <c r="AE72" s="38">
        <f>ABS('Put you Data'!AE72-calcu!AE127)</f>
        <v>18</v>
      </c>
    </row>
    <row r="73" spans="2:33" x14ac:dyDescent="0.3">
      <c r="B73" s="40">
        <v>12</v>
      </c>
      <c r="C73" s="38">
        <f>ABS('Put you Data'!C73-calcu!C128)</f>
        <v>9796</v>
      </c>
      <c r="D73" s="38">
        <f>ABS('Put you Data'!D73-calcu!D128)</f>
        <v>3854</v>
      </c>
      <c r="E73" s="38">
        <f>ABS('Put you Data'!E73-calcu!E128)</f>
        <v>44160</v>
      </c>
      <c r="F73" s="38">
        <f>ABS('Put you Data'!F73-calcu!F128)</f>
        <v>117375</v>
      </c>
      <c r="G73" s="38">
        <f>ABS('Put you Data'!G73-calcu!G128)</f>
        <v>117532</v>
      </c>
      <c r="H73" s="38">
        <f>ABS('Put you Data'!H73-calcu!H128)</f>
        <v>1871</v>
      </c>
      <c r="I73" s="38">
        <f>ABS('Put you Data'!I73-calcu!I128)</f>
        <v>9803</v>
      </c>
      <c r="J73" s="38">
        <f>ABS('Put you Data'!J73-calcu!J128)</f>
        <v>8878</v>
      </c>
      <c r="K73" s="38">
        <f>ABS('Put you Data'!K73-calcu!K128)</f>
        <v>10515</v>
      </c>
      <c r="L73" s="38">
        <f>ABS('Put you Data'!L73-calcu!L128)</f>
        <v>54872</v>
      </c>
      <c r="M73" s="38">
        <f>ABS('Put you Data'!M73-calcu!M128)</f>
        <v>11584</v>
      </c>
      <c r="N73" s="38">
        <f>ABS('Put you Data'!N73-calcu!N128)</f>
        <v>86</v>
      </c>
      <c r="O73" s="38">
        <f>ABS('Put you Data'!O73-calcu!O128)</f>
        <v>0</v>
      </c>
      <c r="P73" s="37"/>
      <c r="R73" s="40">
        <v>12</v>
      </c>
      <c r="S73" s="38">
        <f>ABS('Put you Data'!S73-calcu!S128)</f>
        <v>17</v>
      </c>
      <c r="T73" s="38">
        <f>ABS('Put you Data'!T73-calcu!T128)</f>
        <v>18</v>
      </c>
      <c r="U73" s="38">
        <f>ABS('Put you Data'!U73-calcu!U128)</f>
        <v>19</v>
      </c>
      <c r="V73" s="38">
        <f>ABS('Put you Data'!V73-calcu!V128)</f>
        <v>23</v>
      </c>
      <c r="W73" s="38">
        <f>ABS('Put you Data'!W73-calcu!W128)</f>
        <v>22</v>
      </c>
      <c r="X73" s="38">
        <f>ABS('Put you Data'!X73-calcu!X128)</f>
        <v>18</v>
      </c>
      <c r="Y73" s="38">
        <f>ABS('Put you Data'!Y73-calcu!Y128)</f>
        <v>17</v>
      </c>
      <c r="Z73" s="38">
        <f>ABS('Put you Data'!Z73-calcu!Z128)</f>
        <v>17</v>
      </c>
      <c r="AA73" s="38">
        <f>ABS('Put you Data'!AA73-calcu!AA128)</f>
        <v>18</v>
      </c>
      <c r="AB73" s="38">
        <f>ABS('Put you Data'!AB73-calcu!AB128)</f>
        <v>20</v>
      </c>
      <c r="AC73" s="38">
        <f>ABS('Put you Data'!AC73-calcu!AC128)</f>
        <v>18</v>
      </c>
      <c r="AD73" s="38">
        <f>ABS('Put you Data'!AD73-calcu!AD128)</f>
        <v>18</v>
      </c>
      <c r="AE73" s="38">
        <f>ABS('Put you Data'!AE73-calcu!AE128)</f>
        <v>18</v>
      </c>
    </row>
    <row r="74" spans="2:33" x14ac:dyDescent="0.3"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5">
        <f>SUM(C61:O73)</f>
        <v>108318109</v>
      </c>
      <c r="Q74" s="35" t="s">
        <v>41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5">
        <f>SUM(S61:AE73)</f>
        <v>5330</v>
      </c>
      <c r="AG74" s="35" t="s">
        <v>41</v>
      </c>
    </row>
    <row r="75" spans="2:33" x14ac:dyDescent="0.3">
      <c r="B75" s="37"/>
      <c r="C75" s="37"/>
      <c r="D75" s="37"/>
      <c r="E75" s="37"/>
      <c r="F75" s="37"/>
      <c r="G75" s="37"/>
      <c r="H75" s="37"/>
      <c r="I75" s="35" t="s">
        <v>41</v>
      </c>
      <c r="J75" s="37"/>
      <c r="K75" s="37"/>
      <c r="L75" s="37"/>
      <c r="M75" s="37"/>
      <c r="N75" s="37"/>
      <c r="O75" s="37"/>
      <c r="Q75" s="35">
        <f>IF(P74&lt;10,5,0)</f>
        <v>0</v>
      </c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G75" s="35">
        <f>IF(AF74&lt;10,5,0)</f>
        <v>0</v>
      </c>
    </row>
    <row r="76" spans="2:33" x14ac:dyDescent="0.3">
      <c r="B76" s="37"/>
      <c r="C76" s="37"/>
      <c r="D76" s="37" t="s">
        <v>24</v>
      </c>
      <c r="E76" s="39" t="s">
        <v>27</v>
      </c>
      <c r="F76" s="37"/>
      <c r="G76" s="37" t="s">
        <v>39</v>
      </c>
      <c r="H76" s="41">
        <f>ABS('Put you Data'!H76-calcu!W130)</f>
        <v>19.770655340944003</v>
      </c>
      <c r="I76" s="35">
        <f>IF(H76&lt;5,5,0)</f>
        <v>0</v>
      </c>
      <c r="J76" s="37"/>
      <c r="K76" s="37"/>
      <c r="L76" s="37"/>
      <c r="M76" s="37"/>
      <c r="N76" s="37"/>
      <c r="O76" s="37"/>
      <c r="P76" s="37"/>
      <c r="R76" s="37"/>
      <c r="S76" s="37"/>
      <c r="T76" s="37" t="s">
        <v>24</v>
      </c>
      <c r="U76" s="39" t="s">
        <v>31</v>
      </c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2:33" x14ac:dyDescent="0.3">
      <c r="B77" s="37"/>
      <c r="C77" s="40">
        <v>0</v>
      </c>
      <c r="D77" s="40">
        <v>1</v>
      </c>
      <c r="E77" s="40">
        <v>2</v>
      </c>
      <c r="F77" s="40">
        <v>3</v>
      </c>
      <c r="G77" s="40">
        <v>4</v>
      </c>
      <c r="H77" s="40">
        <v>5</v>
      </c>
      <c r="I77" s="40">
        <v>6</v>
      </c>
      <c r="J77" s="40">
        <v>7</v>
      </c>
      <c r="K77" s="40">
        <v>8</v>
      </c>
      <c r="L77" s="40">
        <v>9</v>
      </c>
      <c r="M77" s="40">
        <v>10</v>
      </c>
      <c r="N77" s="40">
        <v>11</v>
      </c>
      <c r="O77" s="40">
        <v>12</v>
      </c>
      <c r="P77" s="37"/>
      <c r="R77" s="37"/>
      <c r="S77" s="40">
        <v>0</v>
      </c>
      <c r="T77" s="40">
        <v>1</v>
      </c>
      <c r="U77" s="40">
        <v>2</v>
      </c>
      <c r="V77" s="40">
        <v>3</v>
      </c>
      <c r="W77" s="40">
        <v>4</v>
      </c>
      <c r="X77" s="40">
        <v>5</v>
      </c>
      <c r="Y77" s="40">
        <v>6</v>
      </c>
      <c r="Z77" s="40">
        <v>7</v>
      </c>
      <c r="AA77" s="40">
        <v>8</v>
      </c>
      <c r="AB77" s="40">
        <v>9</v>
      </c>
      <c r="AC77" s="40">
        <v>10</v>
      </c>
      <c r="AD77" s="40">
        <v>11</v>
      </c>
      <c r="AE77" s="40">
        <v>12</v>
      </c>
    </row>
    <row r="78" spans="2:33" x14ac:dyDescent="0.3">
      <c r="B78" s="40">
        <v>0</v>
      </c>
      <c r="C78" s="38">
        <f>ABS('Put you Data'!C78-calcu!C135)</f>
        <v>0</v>
      </c>
      <c r="D78" s="38">
        <f>ABS('Put you Data'!D78-calcu!D135)</f>
        <v>0</v>
      </c>
      <c r="E78" s="38">
        <f>ABS('Put you Data'!E78-calcu!E135)</f>
        <v>0</v>
      </c>
      <c r="F78" s="38">
        <f>ABS('Put you Data'!F78-calcu!F135)</f>
        <v>0</v>
      </c>
      <c r="G78" s="38">
        <f>ABS('Put you Data'!G78-calcu!G135)</f>
        <v>0</v>
      </c>
      <c r="H78" s="38">
        <f>ABS('Put you Data'!H78-calcu!H135)</f>
        <v>0</v>
      </c>
      <c r="I78" s="38">
        <f>ABS('Put you Data'!I78-calcu!I135)</f>
        <v>0</v>
      </c>
      <c r="J78" s="38">
        <f>ABS('Put you Data'!J78-calcu!J135)</f>
        <v>0</v>
      </c>
      <c r="K78" s="38">
        <f>ABS('Put you Data'!K78-calcu!K135)</f>
        <v>0</v>
      </c>
      <c r="L78" s="38">
        <f>ABS('Put you Data'!L78-calcu!L135)</f>
        <v>0</v>
      </c>
      <c r="M78" s="38">
        <f>ABS('Put you Data'!M78-calcu!M135)</f>
        <v>0</v>
      </c>
      <c r="N78" s="38">
        <f>ABS('Put you Data'!N78-calcu!N135)</f>
        <v>0</v>
      </c>
      <c r="O78" s="38">
        <f>ABS('Put you Data'!O78-calcu!O135)</f>
        <v>0</v>
      </c>
      <c r="P78" s="37"/>
      <c r="R78" s="40">
        <v>0</v>
      </c>
      <c r="S78" s="38">
        <f>ABS('Put you Data'!S78-calcu!S135)</f>
        <v>0</v>
      </c>
      <c r="T78" s="38">
        <f>ABS('Put you Data'!T78-calcu!T135)</f>
        <v>0</v>
      </c>
      <c r="U78" s="38">
        <f>ABS('Put you Data'!U78-calcu!U135)</f>
        <v>0</v>
      </c>
      <c r="V78" s="38">
        <f>ABS('Put you Data'!V78-calcu!V135)</f>
        <v>0</v>
      </c>
      <c r="W78" s="38">
        <f>ABS('Put you Data'!W78-calcu!W135)</f>
        <v>0</v>
      </c>
      <c r="X78" s="38">
        <f>ABS('Put you Data'!X78-calcu!X135)</f>
        <v>0</v>
      </c>
      <c r="Y78" s="38">
        <f>ABS('Put you Data'!Y78-calcu!Y135)</f>
        <v>0</v>
      </c>
      <c r="Z78" s="38">
        <f>ABS('Put you Data'!Z78-calcu!Z135)</f>
        <v>0</v>
      </c>
      <c r="AA78" s="38">
        <f>ABS('Put you Data'!AA78-calcu!AA135)</f>
        <v>0</v>
      </c>
      <c r="AB78" s="38">
        <f>ABS('Put you Data'!AB78-calcu!AB135)</f>
        <v>0</v>
      </c>
      <c r="AC78" s="38">
        <f>ABS('Put you Data'!AC78-calcu!AC135)</f>
        <v>0</v>
      </c>
      <c r="AD78" s="38">
        <f>ABS('Put you Data'!AD78-calcu!AD135)</f>
        <v>0</v>
      </c>
      <c r="AE78" s="38">
        <f>ABS('Put you Data'!AE78-calcu!AE135)</f>
        <v>0</v>
      </c>
    </row>
    <row r="79" spans="2:33" x14ac:dyDescent="0.3">
      <c r="B79" s="40">
        <v>1</v>
      </c>
      <c r="C79" s="38">
        <f>ABS('Put you Data'!C79-calcu!C136)</f>
        <v>0</v>
      </c>
      <c r="D79" s="38">
        <f>ABS('Put you Data'!D79-calcu!D136)</f>
        <v>0</v>
      </c>
      <c r="E79" s="38">
        <f>ABS('Put you Data'!E79-calcu!E136)</f>
        <v>0</v>
      </c>
      <c r="F79" s="38">
        <f>ABS('Put you Data'!F79-calcu!F136)</f>
        <v>0</v>
      </c>
      <c r="G79" s="38">
        <f>ABS('Put you Data'!G79-calcu!G136)</f>
        <v>0</v>
      </c>
      <c r="H79" s="38">
        <f>ABS('Put you Data'!H79-calcu!H136)</f>
        <v>0</v>
      </c>
      <c r="I79" s="38">
        <f>ABS('Put you Data'!I79-calcu!I136)</f>
        <v>0</v>
      </c>
      <c r="J79" s="38">
        <f>ABS('Put you Data'!J79-calcu!J136)</f>
        <v>0</v>
      </c>
      <c r="K79" s="38">
        <f>ABS('Put you Data'!K79-calcu!K136)</f>
        <v>0</v>
      </c>
      <c r="L79" s="38">
        <f>ABS('Put you Data'!L79-calcu!L136)</f>
        <v>0</v>
      </c>
      <c r="M79" s="38">
        <f>ABS('Put you Data'!M79-calcu!M136)</f>
        <v>0</v>
      </c>
      <c r="N79" s="38">
        <f>ABS('Put you Data'!N79-calcu!N136)</f>
        <v>0</v>
      </c>
      <c r="O79" s="38">
        <f>ABS('Put you Data'!O79-calcu!O136)</f>
        <v>0</v>
      </c>
      <c r="P79" s="37"/>
      <c r="R79" s="40">
        <v>1</v>
      </c>
      <c r="S79" s="38">
        <f>ABS('Put you Data'!S79-calcu!S136)</f>
        <v>0</v>
      </c>
      <c r="T79" s="38">
        <f>ABS('Put you Data'!T79-calcu!T136)</f>
        <v>0</v>
      </c>
      <c r="U79" s="38">
        <f>ABS('Put you Data'!U79-calcu!U136)</f>
        <v>0</v>
      </c>
      <c r="V79" s="38">
        <f>ABS('Put you Data'!V79-calcu!V136)</f>
        <v>0</v>
      </c>
      <c r="W79" s="38">
        <f>ABS('Put you Data'!W79-calcu!W136)</f>
        <v>0</v>
      </c>
      <c r="X79" s="38">
        <f>ABS('Put you Data'!X79-calcu!X136)</f>
        <v>0</v>
      </c>
      <c r="Y79" s="38">
        <f>ABS('Put you Data'!Y79-calcu!Y136)</f>
        <v>0</v>
      </c>
      <c r="Z79" s="38">
        <f>ABS('Put you Data'!Z79-calcu!Z136)</f>
        <v>0</v>
      </c>
      <c r="AA79" s="38">
        <f>ABS('Put you Data'!AA79-calcu!AA136)</f>
        <v>0</v>
      </c>
      <c r="AB79" s="38">
        <f>ABS('Put you Data'!AB79-calcu!AB136)</f>
        <v>0</v>
      </c>
      <c r="AC79" s="38">
        <f>ABS('Put you Data'!AC79-calcu!AC136)</f>
        <v>0</v>
      </c>
      <c r="AD79" s="38">
        <f>ABS('Put you Data'!AD79-calcu!AD136)</f>
        <v>0</v>
      </c>
      <c r="AE79" s="38">
        <f>ABS('Put you Data'!AE79-calcu!AE136)</f>
        <v>0</v>
      </c>
    </row>
    <row r="80" spans="2:33" x14ac:dyDescent="0.3">
      <c r="B80" s="40">
        <v>2</v>
      </c>
      <c r="C80" s="38">
        <f>ABS('Put you Data'!C80-calcu!C137)</f>
        <v>0</v>
      </c>
      <c r="D80" s="38">
        <f>ABS('Put you Data'!D80-calcu!D137)</f>
        <v>0</v>
      </c>
      <c r="E80" s="38">
        <f>ABS('Put you Data'!E80-calcu!E137)</f>
        <v>0</v>
      </c>
      <c r="F80" s="38">
        <f>ABS('Put you Data'!F80-calcu!F137)</f>
        <v>0</v>
      </c>
      <c r="G80" s="38">
        <f>ABS('Put you Data'!G80-calcu!G137)</f>
        <v>0</v>
      </c>
      <c r="H80" s="38">
        <f>ABS('Put you Data'!H80-calcu!H137)</f>
        <v>156</v>
      </c>
      <c r="I80" s="38">
        <f>ABS('Put you Data'!I80-calcu!I137)</f>
        <v>0</v>
      </c>
      <c r="J80" s="38">
        <f>ABS('Put you Data'!J80-calcu!J137)</f>
        <v>0</v>
      </c>
      <c r="K80" s="38">
        <f>ABS('Put you Data'!K80-calcu!K137)</f>
        <v>0</v>
      </c>
      <c r="L80" s="38">
        <f>ABS('Put you Data'!L80-calcu!L137)</f>
        <v>0</v>
      </c>
      <c r="M80" s="38">
        <f>ABS('Put you Data'!M80-calcu!M137)</f>
        <v>0</v>
      </c>
      <c r="N80" s="38">
        <f>ABS('Put you Data'!N80-calcu!N137)</f>
        <v>0</v>
      </c>
      <c r="O80" s="38">
        <f>ABS('Put you Data'!O80-calcu!O137)</f>
        <v>0</v>
      </c>
      <c r="P80" s="37"/>
      <c r="R80" s="40">
        <v>2</v>
      </c>
      <c r="S80" s="38">
        <f>ABS('Put you Data'!S80-calcu!S137)</f>
        <v>0</v>
      </c>
      <c r="T80" s="38">
        <f>ABS('Put you Data'!T80-calcu!T137)</f>
        <v>0</v>
      </c>
      <c r="U80" s="38">
        <f>ABS('Put you Data'!U80-calcu!U137)</f>
        <v>0</v>
      </c>
      <c r="V80" s="38">
        <f>ABS('Put you Data'!V80-calcu!V137)</f>
        <v>0</v>
      </c>
      <c r="W80" s="38">
        <f>ABS('Put you Data'!W80-calcu!W137)</f>
        <v>0</v>
      </c>
      <c r="X80" s="38">
        <f>ABS('Put you Data'!X80-calcu!X137)</f>
        <v>156</v>
      </c>
      <c r="Y80" s="38">
        <f>ABS('Put you Data'!Y80-calcu!Y137)</f>
        <v>0</v>
      </c>
      <c r="Z80" s="38">
        <f>ABS('Put you Data'!Z80-calcu!Z137)</f>
        <v>0</v>
      </c>
      <c r="AA80" s="38">
        <f>ABS('Put you Data'!AA80-calcu!AA137)</f>
        <v>0</v>
      </c>
      <c r="AB80" s="38">
        <f>ABS('Put you Data'!AB80-calcu!AB137)</f>
        <v>0</v>
      </c>
      <c r="AC80" s="38">
        <f>ABS('Put you Data'!AC80-calcu!AC137)</f>
        <v>0</v>
      </c>
      <c r="AD80" s="38">
        <f>ABS('Put you Data'!AD80-calcu!AD137)</f>
        <v>0</v>
      </c>
      <c r="AE80" s="38">
        <f>ABS('Put you Data'!AE80-calcu!AE137)</f>
        <v>0</v>
      </c>
    </row>
    <row r="81" spans="2:33" x14ac:dyDescent="0.3">
      <c r="B81" s="40">
        <v>3</v>
      </c>
      <c r="C81" s="38">
        <f>ABS('Put you Data'!C81-calcu!C138)</f>
        <v>0</v>
      </c>
      <c r="D81" s="38">
        <f>ABS('Put you Data'!D81-calcu!D138)</f>
        <v>0</v>
      </c>
      <c r="E81" s="38">
        <f>ABS('Put you Data'!E81-calcu!E138)</f>
        <v>0</v>
      </c>
      <c r="F81" s="38">
        <f>ABS('Put you Data'!F81-calcu!F138)</f>
        <v>0</v>
      </c>
      <c r="G81" s="38">
        <f>ABS('Put you Data'!G81-calcu!G138)</f>
        <v>0</v>
      </c>
      <c r="H81" s="38">
        <f>ABS('Put you Data'!H81-calcu!H138)</f>
        <v>110</v>
      </c>
      <c r="I81" s="38">
        <f>ABS('Put you Data'!I81-calcu!I138)</f>
        <v>229</v>
      </c>
      <c r="J81" s="38">
        <f>ABS('Put you Data'!J81-calcu!J138)</f>
        <v>88</v>
      </c>
      <c r="K81" s="38">
        <f>ABS('Put you Data'!K81-calcu!K138)</f>
        <v>133</v>
      </c>
      <c r="L81" s="38">
        <f>ABS('Put you Data'!L81-calcu!L138)</f>
        <v>0</v>
      </c>
      <c r="M81" s="38">
        <f>ABS('Put you Data'!M81-calcu!M138)</f>
        <v>0</v>
      </c>
      <c r="N81" s="38">
        <f>ABS('Put you Data'!N81-calcu!N138)</f>
        <v>0</v>
      </c>
      <c r="O81" s="38">
        <f>ABS('Put you Data'!O81-calcu!O138)</f>
        <v>0</v>
      </c>
      <c r="P81" s="37"/>
      <c r="R81" s="40">
        <v>3</v>
      </c>
      <c r="S81" s="38">
        <f>ABS('Put you Data'!S81-calcu!S138)</f>
        <v>0</v>
      </c>
      <c r="T81" s="38">
        <f>ABS('Put you Data'!T81-calcu!T138)</f>
        <v>0</v>
      </c>
      <c r="U81" s="38">
        <f>ABS('Put you Data'!U81-calcu!U138)</f>
        <v>0</v>
      </c>
      <c r="V81" s="38">
        <f>ABS('Put you Data'!V81-calcu!V138)</f>
        <v>0</v>
      </c>
      <c r="W81" s="38">
        <f>ABS('Put you Data'!W81-calcu!W138)</f>
        <v>0</v>
      </c>
      <c r="X81" s="38">
        <f>ABS('Put you Data'!X81-calcu!X138)</f>
        <v>0</v>
      </c>
      <c r="Y81" s="38">
        <f>ABS('Put you Data'!Y81-calcu!Y138)</f>
        <v>233</v>
      </c>
      <c r="Z81" s="38">
        <f>ABS('Put you Data'!Z81-calcu!Z138)</f>
        <v>0</v>
      </c>
      <c r="AA81" s="38">
        <f>ABS('Put you Data'!AA81-calcu!AA138)</f>
        <v>0</v>
      </c>
      <c r="AB81" s="38">
        <f>ABS('Put you Data'!AB81-calcu!AB138)</f>
        <v>0</v>
      </c>
      <c r="AC81" s="38">
        <f>ABS('Put you Data'!AC81-calcu!AC138)</f>
        <v>0</v>
      </c>
      <c r="AD81" s="38">
        <f>ABS('Put you Data'!AD81-calcu!AD138)</f>
        <v>0</v>
      </c>
      <c r="AE81" s="38">
        <f>ABS('Put you Data'!AE81-calcu!AE138)</f>
        <v>0</v>
      </c>
    </row>
    <row r="82" spans="2:33" x14ac:dyDescent="0.3">
      <c r="B82" s="40">
        <v>4</v>
      </c>
      <c r="C82" s="38">
        <f>ABS('Put you Data'!C82-calcu!C139)</f>
        <v>0</v>
      </c>
      <c r="D82" s="38">
        <f>ABS('Put you Data'!D82-calcu!D139)</f>
        <v>0</v>
      </c>
      <c r="E82" s="38">
        <f>ABS('Put you Data'!E82-calcu!E139)</f>
        <v>107</v>
      </c>
      <c r="F82" s="38">
        <f>ABS('Put you Data'!F82-calcu!F139)</f>
        <v>127</v>
      </c>
      <c r="G82" s="38">
        <f>ABS('Put you Data'!G82-calcu!G139)</f>
        <v>0</v>
      </c>
      <c r="H82" s="38">
        <f>ABS('Put you Data'!H82-calcu!H139)</f>
        <v>0</v>
      </c>
      <c r="I82" s="38">
        <f>ABS('Put you Data'!I82-calcu!I139)</f>
        <v>144</v>
      </c>
      <c r="J82" s="38">
        <f>ABS('Put you Data'!J82-calcu!J139)</f>
        <v>138</v>
      </c>
      <c r="K82" s="38">
        <f>ABS('Put you Data'!K82-calcu!K139)</f>
        <v>156</v>
      </c>
      <c r="L82" s="38">
        <f>ABS('Put you Data'!L82-calcu!L139)</f>
        <v>33</v>
      </c>
      <c r="M82" s="38">
        <f>ABS('Put you Data'!M82-calcu!M139)</f>
        <v>0</v>
      </c>
      <c r="N82" s="38">
        <f>ABS('Put you Data'!N82-calcu!N139)</f>
        <v>0</v>
      </c>
      <c r="O82" s="38">
        <f>ABS('Put you Data'!O82-calcu!O139)</f>
        <v>0</v>
      </c>
      <c r="P82" s="37"/>
      <c r="R82" s="40">
        <v>4</v>
      </c>
      <c r="S82" s="38">
        <f>ABS('Put you Data'!S82-calcu!S139)</f>
        <v>0</v>
      </c>
      <c r="T82" s="38">
        <f>ABS('Put you Data'!T82-calcu!T139)</f>
        <v>0</v>
      </c>
      <c r="U82" s="38">
        <f>ABS('Put you Data'!U82-calcu!U139)</f>
        <v>0</v>
      </c>
      <c r="V82" s="38">
        <f>ABS('Put you Data'!V82-calcu!V139)</f>
        <v>127</v>
      </c>
      <c r="W82" s="38">
        <f>ABS('Put you Data'!W82-calcu!W139)</f>
        <v>0</v>
      </c>
      <c r="X82" s="38">
        <f>ABS('Put you Data'!X82-calcu!X139)</f>
        <v>0</v>
      </c>
      <c r="Y82" s="38">
        <f>ABS('Put you Data'!Y82-calcu!Y139)</f>
        <v>0</v>
      </c>
      <c r="Z82" s="38">
        <f>ABS('Put you Data'!Z82-calcu!Z139)</f>
        <v>0</v>
      </c>
      <c r="AA82" s="38">
        <f>ABS('Put you Data'!AA82-calcu!AA139)</f>
        <v>255</v>
      </c>
      <c r="AB82" s="38">
        <f>ABS('Put you Data'!AB82-calcu!AB139)</f>
        <v>0</v>
      </c>
      <c r="AC82" s="38">
        <f>ABS('Put you Data'!AC82-calcu!AC139)</f>
        <v>0</v>
      </c>
      <c r="AD82" s="38">
        <f>ABS('Put you Data'!AD82-calcu!AD139)</f>
        <v>0</v>
      </c>
      <c r="AE82" s="38">
        <f>ABS('Put you Data'!AE82-calcu!AE139)</f>
        <v>0</v>
      </c>
    </row>
    <row r="83" spans="2:33" x14ac:dyDescent="0.3">
      <c r="B83" s="40">
        <v>5</v>
      </c>
      <c r="C83" s="38">
        <f>ABS('Put you Data'!C83-calcu!C140)</f>
        <v>0</v>
      </c>
      <c r="D83" s="38">
        <f>ABS('Put you Data'!D83-calcu!D140)</f>
        <v>0</v>
      </c>
      <c r="E83" s="38">
        <f>ABS('Put you Data'!E83-calcu!E140)</f>
        <v>0</v>
      </c>
      <c r="F83" s="38">
        <f>ABS('Put you Data'!F83-calcu!F140)</f>
        <v>66</v>
      </c>
      <c r="G83" s="38">
        <f>ABS('Put you Data'!G83-calcu!G140)</f>
        <v>179</v>
      </c>
      <c r="H83" s="38">
        <f>ABS('Put you Data'!H83-calcu!H140)</f>
        <v>0</v>
      </c>
      <c r="I83" s="38">
        <f>ABS('Put you Data'!I83-calcu!I140)</f>
        <v>0</v>
      </c>
      <c r="J83" s="38">
        <f>ABS('Put you Data'!J83-calcu!J140)</f>
        <v>0</v>
      </c>
      <c r="K83" s="38">
        <f>ABS('Put you Data'!K83-calcu!K140)</f>
        <v>29</v>
      </c>
      <c r="L83" s="38">
        <f>ABS('Put you Data'!L83-calcu!L140)</f>
        <v>255</v>
      </c>
      <c r="M83" s="38">
        <f>ABS('Put you Data'!M83-calcu!M140)</f>
        <v>124</v>
      </c>
      <c r="N83" s="38">
        <f>ABS('Put you Data'!N83-calcu!N140)</f>
        <v>0</v>
      </c>
      <c r="O83" s="38">
        <f>ABS('Put you Data'!O83-calcu!O140)</f>
        <v>0</v>
      </c>
      <c r="P83" s="37"/>
      <c r="R83" s="40">
        <v>5</v>
      </c>
      <c r="S83" s="38">
        <f>ABS('Put you Data'!S83-calcu!S140)</f>
        <v>0</v>
      </c>
      <c r="T83" s="38">
        <f>ABS('Put you Data'!T83-calcu!T140)</f>
        <v>0</v>
      </c>
      <c r="U83" s="38">
        <f>ABS('Put you Data'!U83-calcu!U140)</f>
        <v>0</v>
      </c>
      <c r="V83" s="38">
        <f>ABS('Put you Data'!V83-calcu!V140)</f>
        <v>0</v>
      </c>
      <c r="W83" s="38">
        <f>ABS('Put you Data'!W83-calcu!W140)</f>
        <v>179</v>
      </c>
      <c r="X83" s="38">
        <f>ABS('Put you Data'!X83-calcu!X140)</f>
        <v>0</v>
      </c>
      <c r="Y83" s="38">
        <f>ABS('Put you Data'!Y83-calcu!Y140)</f>
        <v>0</v>
      </c>
      <c r="Z83" s="38">
        <f>ABS('Put you Data'!Z83-calcu!Z140)</f>
        <v>0</v>
      </c>
      <c r="AA83" s="38">
        <f>ABS('Put you Data'!AA83-calcu!AA140)</f>
        <v>0</v>
      </c>
      <c r="AB83" s="38">
        <f>ABS('Put you Data'!AB83-calcu!AB140)</f>
        <v>255</v>
      </c>
      <c r="AC83" s="38">
        <f>ABS('Put you Data'!AC83-calcu!AC140)</f>
        <v>0</v>
      </c>
      <c r="AD83" s="38">
        <f>ABS('Put you Data'!AD83-calcu!AD140)</f>
        <v>0</v>
      </c>
      <c r="AE83" s="38">
        <f>ABS('Put you Data'!AE83-calcu!AE140)</f>
        <v>0</v>
      </c>
    </row>
    <row r="84" spans="2:33" x14ac:dyDescent="0.3">
      <c r="B84" s="40">
        <v>6</v>
      </c>
      <c r="C84" s="38">
        <f>ABS('Put you Data'!C84-calcu!C141)</f>
        <v>0</v>
      </c>
      <c r="D84" s="38">
        <f>ABS('Put you Data'!D84-calcu!D141)</f>
        <v>0</v>
      </c>
      <c r="E84" s="38">
        <f>ABS('Put you Data'!E84-calcu!E141)</f>
        <v>0</v>
      </c>
      <c r="F84" s="38">
        <f>ABS('Put you Data'!F84-calcu!F141)</f>
        <v>0</v>
      </c>
      <c r="G84" s="38">
        <f>ABS('Put you Data'!G84-calcu!G141)</f>
        <v>115</v>
      </c>
      <c r="H84" s="38">
        <f>ABS('Put you Data'!H84-calcu!H141)</f>
        <v>0</v>
      </c>
      <c r="I84" s="38">
        <f>ABS('Put you Data'!I84-calcu!I141)</f>
        <v>0</v>
      </c>
      <c r="J84" s="38">
        <f>ABS('Put you Data'!J84-calcu!J141)</f>
        <v>0</v>
      </c>
      <c r="K84" s="38">
        <f>ABS('Put you Data'!K84-calcu!K141)</f>
        <v>0</v>
      </c>
      <c r="L84" s="38">
        <f>ABS('Put you Data'!L84-calcu!L141)</f>
        <v>136</v>
      </c>
      <c r="M84" s="38">
        <f>ABS('Put you Data'!M84-calcu!M141)</f>
        <v>0</v>
      </c>
      <c r="N84" s="38">
        <f>ABS('Put you Data'!N84-calcu!N141)</f>
        <v>0</v>
      </c>
      <c r="O84" s="38">
        <f>ABS('Put you Data'!O84-calcu!O141)</f>
        <v>0</v>
      </c>
      <c r="P84" s="37"/>
      <c r="R84" s="40">
        <v>6</v>
      </c>
      <c r="S84" s="38">
        <f>ABS('Put you Data'!S84-calcu!S141)</f>
        <v>0</v>
      </c>
      <c r="T84" s="38">
        <f>ABS('Put you Data'!T84-calcu!T141)</f>
        <v>0</v>
      </c>
      <c r="U84" s="38">
        <f>ABS('Put you Data'!U84-calcu!U141)</f>
        <v>0</v>
      </c>
      <c r="V84" s="38">
        <f>ABS('Put you Data'!V84-calcu!V141)</f>
        <v>0</v>
      </c>
      <c r="W84" s="38">
        <f>ABS('Put you Data'!W84-calcu!W141)</f>
        <v>0</v>
      </c>
      <c r="X84" s="38">
        <f>ABS('Put you Data'!X84-calcu!X141)</f>
        <v>0</v>
      </c>
      <c r="Y84" s="38">
        <f>ABS('Put you Data'!Y84-calcu!Y141)</f>
        <v>0</v>
      </c>
      <c r="Z84" s="38">
        <f>ABS('Put you Data'!Z84-calcu!Z141)</f>
        <v>0</v>
      </c>
      <c r="AA84" s="38">
        <f>ABS('Put you Data'!AA84-calcu!AA141)</f>
        <v>0</v>
      </c>
      <c r="AB84" s="38">
        <f>ABS('Put you Data'!AB84-calcu!AB141)</f>
        <v>0</v>
      </c>
      <c r="AC84" s="38">
        <f>ABS('Put you Data'!AC84-calcu!AC141)</f>
        <v>0</v>
      </c>
      <c r="AD84" s="38">
        <f>ABS('Put you Data'!AD84-calcu!AD141)</f>
        <v>0</v>
      </c>
      <c r="AE84" s="38">
        <f>ABS('Put you Data'!AE84-calcu!AE141)</f>
        <v>0</v>
      </c>
    </row>
    <row r="85" spans="2:33" x14ac:dyDescent="0.3">
      <c r="B85" s="40">
        <v>7</v>
      </c>
      <c r="C85" s="38">
        <f>ABS('Put you Data'!C85-calcu!C142)</f>
        <v>0</v>
      </c>
      <c r="D85" s="38">
        <f>ABS('Put you Data'!D85-calcu!D142)</f>
        <v>0</v>
      </c>
      <c r="E85" s="38">
        <f>ABS('Put you Data'!E85-calcu!E142)</f>
        <v>0</v>
      </c>
      <c r="F85" s="38">
        <f>ABS('Put you Data'!F85-calcu!F142)</f>
        <v>0</v>
      </c>
      <c r="G85" s="38">
        <f>ABS('Put you Data'!G85-calcu!G142)</f>
        <v>0</v>
      </c>
      <c r="H85" s="38">
        <f>ABS('Put you Data'!H85-calcu!H142)</f>
        <v>0</v>
      </c>
      <c r="I85" s="38">
        <f>ABS('Put you Data'!I85-calcu!I142)</f>
        <v>0</v>
      </c>
      <c r="J85" s="38">
        <f>ABS('Put you Data'!J85-calcu!J142)</f>
        <v>0</v>
      </c>
      <c r="K85" s="38">
        <f>ABS('Put you Data'!K85-calcu!K142)</f>
        <v>0</v>
      </c>
      <c r="L85" s="38">
        <f>ABS('Put you Data'!L85-calcu!L142)</f>
        <v>0</v>
      </c>
      <c r="M85" s="38">
        <f>ABS('Put you Data'!M85-calcu!M142)</f>
        <v>0</v>
      </c>
      <c r="N85" s="38">
        <f>ABS('Put you Data'!N85-calcu!N142)</f>
        <v>0</v>
      </c>
      <c r="O85" s="38">
        <f>ABS('Put you Data'!O85-calcu!O142)</f>
        <v>0</v>
      </c>
      <c r="P85" s="37"/>
      <c r="R85" s="40">
        <v>7</v>
      </c>
      <c r="S85" s="38">
        <f>ABS('Put you Data'!S85-calcu!S142)</f>
        <v>0</v>
      </c>
      <c r="T85" s="38">
        <f>ABS('Put you Data'!T85-calcu!T142)</f>
        <v>0</v>
      </c>
      <c r="U85" s="38">
        <f>ABS('Put you Data'!U85-calcu!U142)</f>
        <v>0</v>
      </c>
      <c r="V85" s="38">
        <f>ABS('Put you Data'!V85-calcu!V142)</f>
        <v>0</v>
      </c>
      <c r="W85" s="38">
        <f>ABS('Put you Data'!W85-calcu!W142)</f>
        <v>0</v>
      </c>
      <c r="X85" s="38">
        <f>ABS('Put you Data'!X85-calcu!X142)</f>
        <v>0</v>
      </c>
      <c r="Y85" s="38">
        <f>ABS('Put you Data'!Y85-calcu!Y142)</f>
        <v>0</v>
      </c>
      <c r="Z85" s="38">
        <f>ABS('Put you Data'!Z85-calcu!Z142)</f>
        <v>0</v>
      </c>
      <c r="AA85" s="38">
        <f>ABS('Put you Data'!AA85-calcu!AA142)</f>
        <v>0</v>
      </c>
      <c r="AB85" s="38">
        <f>ABS('Put you Data'!AB85-calcu!AB142)</f>
        <v>0</v>
      </c>
      <c r="AC85" s="38">
        <f>ABS('Put you Data'!AC85-calcu!AC142)</f>
        <v>0</v>
      </c>
      <c r="AD85" s="38">
        <f>ABS('Put you Data'!AD85-calcu!AD142)</f>
        <v>0</v>
      </c>
      <c r="AE85" s="38">
        <f>ABS('Put you Data'!AE85-calcu!AE142)</f>
        <v>0</v>
      </c>
    </row>
    <row r="86" spans="2:33" x14ac:dyDescent="0.3">
      <c r="B86" s="40">
        <v>8</v>
      </c>
      <c r="C86" s="38">
        <f>ABS('Put you Data'!C86-calcu!C143)</f>
        <v>0</v>
      </c>
      <c r="D86" s="38">
        <f>ABS('Put you Data'!D86-calcu!D143)</f>
        <v>0</v>
      </c>
      <c r="E86" s="38">
        <f>ABS('Put you Data'!E86-calcu!E143)</f>
        <v>0</v>
      </c>
      <c r="F86" s="38">
        <f>ABS('Put you Data'!F86-calcu!F143)</f>
        <v>81</v>
      </c>
      <c r="G86" s="38">
        <f>ABS('Put you Data'!G86-calcu!G143)</f>
        <v>0</v>
      </c>
      <c r="H86" s="38">
        <f>ABS('Put you Data'!H86-calcu!H143)</f>
        <v>0</v>
      </c>
      <c r="I86" s="38">
        <f>ABS('Put you Data'!I86-calcu!I143)</f>
        <v>0</v>
      </c>
      <c r="J86" s="38">
        <f>ABS('Put you Data'!J86-calcu!J143)</f>
        <v>0</v>
      </c>
      <c r="K86" s="38">
        <f>ABS('Put you Data'!K86-calcu!K143)</f>
        <v>84</v>
      </c>
      <c r="L86" s="38">
        <f>ABS('Put you Data'!L86-calcu!L143)</f>
        <v>0</v>
      </c>
      <c r="M86" s="38">
        <f>ABS('Put you Data'!M86-calcu!M143)</f>
        <v>0</v>
      </c>
      <c r="N86" s="38">
        <f>ABS('Put you Data'!N86-calcu!N143)</f>
        <v>0</v>
      </c>
      <c r="O86" s="38">
        <f>ABS('Put you Data'!O86-calcu!O143)</f>
        <v>0</v>
      </c>
      <c r="P86" s="37"/>
      <c r="R86" s="40">
        <v>8</v>
      </c>
      <c r="S86" s="38">
        <f>ABS('Put you Data'!S86-calcu!S143)</f>
        <v>0</v>
      </c>
      <c r="T86" s="38">
        <f>ABS('Put you Data'!T86-calcu!T143)</f>
        <v>0</v>
      </c>
      <c r="U86" s="38">
        <f>ABS('Put you Data'!U86-calcu!U143)</f>
        <v>0</v>
      </c>
      <c r="V86" s="38">
        <f>ABS('Put you Data'!V86-calcu!V143)</f>
        <v>0</v>
      </c>
      <c r="W86" s="38">
        <f>ABS('Put you Data'!W86-calcu!W143)</f>
        <v>0</v>
      </c>
      <c r="X86" s="38">
        <f>ABS('Put you Data'!X86-calcu!X143)</f>
        <v>0</v>
      </c>
      <c r="Y86" s="38">
        <f>ABS('Put you Data'!Y86-calcu!Y143)</f>
        <v>0</v>
      </c>
      <c r="Z86" s="38">
        <f>ABS('Put you Data'!Z86-calcu!Z143)</f>
        <v>0</v>
      </c>
      <c r="AA86" s="38">
        <f>ABS('Put you Data'!AA86-calcu!AA143)</f>
        <v>0</v>
      </c>
      <c r="AB86" s="38">
        <f>ABS('Put you Data'!AB86-calcu!AB143)</f>
        <v>0</v>
      </c>
      <c r="AC86" s="38">
        <f>ABS('Put you Data'!AC86-calcu!AC143)</f>
        <v>0</v>
      </c>
      <c r="AD86" s="38">
        <f>ABS('Put you Data'!AD86-calcu!AD143)</f>
        <v>0</v>
      </c>
      <c r="AE86" s="38">
        <f>ABS('Put you Data'!AE86-calcu!AE143)</f>
        <v>0</v>
      </c>
    </row>
    <row r="87" spans="2:33" x14ac:dyDescent="0.3">
      <c r="B87" s="40">
        <v>9</v>
      </c>
      <c r="C87" s="38">
        <f>ABS('Put you Data'!C87-calcu!C144)</f>
        <v>0</v>
      </c>
      <c r="D87" s="38">
        <f>ABS('Put you Data'!D87-calcu!D144)</f>
        <v>0</v>
      </c>
      <c r="E87" s="38">
        <f>ABS('Put you Data'!E87-calcu!E144)</f>
        <v>83</v>
      </c>
      <c r="F87" s="38">
        <f>ABS('Put you Data'!F87-calcu!F144)</f>
        <v>185</v>
      </c>
      <c r="G87" s="38">
        <f>ABS('Put you Data'!G87-calcu!G144)</f>
        <v>114</v>
      </c>
      <c r="H87" s="38">
        <f>ABS('Put you Data'!H87-calcu!H144)</f>
        <v>0</v>
      </c>
      <c r="I87" s="38">
        <f>ABS('Put you Data'!I87-calcu!I144)</f>
        <v>0</v>
      </c>
      <c r="J87" s="38">
        <f>ABS('Put you Data'!J87-calcu!J144)</f>
        <v>103</v>
      </c>
      <c r="K87" s="38">
        <f>ABS('Put you Data'!K87-calcu!K144)</f>
        <v>167</v>
      </c>
      <c r="L87" s="38">
        <f>ABS('Put you Data'!L87-calcu!L144)</f>
        <v>0</v>
      </c>
      <c r="M87" s="38">
        <f>ABS('Put you Data'!M87-calcu!M144)</f>
        <v>0</v>
      </c>
      <c r="N87" s="38">
        <f>ABS('Put you Data'!N87-calcu!N144)</f>
        <v>0</v>
      </c>
      <c r="O87" s="38">
        <f>ABS('Put you Data'!O87-calcu!O144)</f>
        <v>0</v>
      </c>
      <c r="P87" s="37"/>
      <c r="R87" s="40">
        <v>9</v>
      </c>
      <c r="S87" s="38">
        <f>ABS('Put you Data'!S87-calcu!S144)</f>
        <v>0</v>
      </c>
      <c r="T87" s="38">
        <f>ABS('Put you Data'!T87-calcu!T144)</f>
        <v>0</v>
      </c>
      <c r="U87" s="38">
        <f>ABS('Put you Data'!U87-calcu!U144)</f>
        <v>0</v>
      </c>
      <c r="V87" s="38">
        <f>ABS('Put you Data'!V87-calcu!V144)</f>
        <v>185</v>
      </c>
      <c r="W87" s="38">
        <f>ABS('Put you Data'!W87-calcu!W144)</f>
        <v>0</v>
      </c>
      <c r="X87" s="38">
        <f>ABS('Put you Data'!X87-calcu!X144)</f>
        <v>0</v>
      </c>
      <c r="Y87" s="38">
        <f>ABS('Put you Data'!Y87-calcu!Y144)</f>
        <v>0</v>
      </c>
      <c r="Z87" s="38">
        <f>ABS('Put you Data'!Z87-calcu!Z144)</f>
        <v>0</v>
      </c>
      <c r="AA87" s="38">
        <f>ABS('Put you Data'!AA87-calcu!AA144)</f>
        <v>167</v>
      </c>
      <c r="AB87" s="38">
        <f>ABS('Put you Data'!AB87-calcu!AB144)</f>
        <v>0</v>
      </c>
      <c r="AC87" s="38">
        <f>ABS('Put you Data'!AC87-calcu!AC144)</f>
        <v>0</v>
      </c>
      <c r="AD87" s="38">
        <f>ABS('Put you Data'!AD87-calcu!AD144)</f>
        <v>0</v>
      </c>
      <c r="AE87" s="38">
        <f>ABS('Put you Data'!AE87-calcu!AE144)</f>
        <v>0</v>
      </c>
    </row>
    <row r="88" spans="2:33" x14ac:dyDescent="0.3">
      <c r="B88" s="40">
        <v>10</v>
      </c>
      <c r="C88" s="38">
        <f>ABS('Put you Data'!C88-calcu!C145)</f>
        <v>0</v>
      </c>
      <c r="D88" s="38">
        <f>ABS('Put you Data'!D88-calcu!D145)</f>
        <v>0</v>
      </c>
      <c r="E88" s="38">
        <f>ABS('Put you Data'!E88-calcu!E145)</f>
        <v>0</v>
      </c>
      <c r="F88" s="38">
        <f>ABS('Put you Data'!F88-calcu!F145)</f>
        <v>11</v>
      </c>
      <c r="G88" s="38">
        <f>ABS('Put you Data'!G88-calcu!G145)</f>
        <v>206</v>
      </c>
      <c r="H88" s="38">
        <f>ABS('Put you Data'!H88-calcu!H145)</f>
        <v>141</v>
      </c>
      <c r="I88" s="38">
        <f>ABS('Put you Data'!I88-calcu!I145)</f>
        <v>0</v>
      </c>
      <c r="J88" s="38">
        <f>ABS('Put you Data'!J88-calcu!J145)</f>
        <v>0</v>
      </c>
      <c r="K88" s="38">
        <f>ABS('Put you Data'!K88-calcu!K145)</f>
        <v>34</v>
      </c>
      <c r="L88" s="38">
        <f>ABS('Put you Data'!L88-calcu!L145)</f>
        <v>170</v>
      </c>
      <c r="M88" s="38">
        <f>ABS('Put you Data'!M88-calcu!M145)</f>
        <v>0</v>
      </c>
      <c r="N88" s="38">
        <f>ABS('Put you Data'!N88-calcu!N145)</f>
        <v>0</v>
      </c>
      <c r="O88" s="38">
        <f>ABS('Put you Data'!O88-calcu!O145)</f>
        <v>0</v>
      </c>
      <c r="P88" s="37"/>
      <c r="R88" s="40">
        <v>10</v>
      </c>
      <c r="S88" s="38">
        <f>ABS('Put you Data'!S88-calcu!S145)</f>
        <v>0</v>
      </c>
      <c r="T88" s="38">
        <f>ABS('Put you Data'!T88-calcu!T145)</f>
        <v>0</v>
      </c>
      <c r="U88" s="38">
        <f>ABS('Put you Data'!U88-calcu!U145)</f>
        <v>0</v>
      </c>
      <c r="V88" s="38">
        <f>ABS('Put you Data'!V88-calcu!V145)</f>
        <v>0</v>
      </c>
      <c r="W88" s="38">
        <f>ABS('Put you Data'!W88-calcu!W145)</f>
        <v>206</v>
      </c>
      <c r="X88" s="38">
        <f>ABS('Put you Data'!X88-calcu!X145)</f>
        <v>0</v>
      </c>
      <c r="Y88" s="38">
        <f>ABS('Put you Data'!Y88-calcu!Y145)</f>
        <v>0</v>
      </c>
      <c r="Z88" s="38">
        <f>ABS('Put you Data'!Z88-calcu!Z145)</f>
        <v>0</v>
      </c>
      <c r="AA88" s="38">
        <f>ABS('Put you Data'!AA88-calcu!AA145)</f>
        <v>0</v>
      </c>
      <c r="AB88" s="38">
        <f>ABS('Put you Data'!AB88-calcu!AB145)</f>
        <v>170</v>
      </c>
      <c r="AC88" s="38">
        <f>ABS('Put you Data'!AC88-calcu!AC145)</f>
        <v>0</v>
      </c>
      <c r="AD88" s="38">
        <f>ABS('Put you Data'!AD88-calcu!AD145)</f>
        <v>0</v>
      </c>
      <c r="AE88" s="38">
        <f>ABS('Put you Data'!AE88-calcu!AE145)</f>
        <v>0</v>
      </c>
    </row>
    <row r="89" spans="2:33" x14ac:dyDescent="0.3">
      <c r="B89" s="40">
        <v>11</v>
      </c>
      <c r="C89" s="38">
        <f>ABS('Put you Data'!C89-calcu!C146)</f>
        <v>0</v>
      </c>
      <c r="D89" s="38">
        <f>ABS('Put you Data'!D89-calcu!D146)</f>
        <v>0</v>
      </c>
      <c r="E89" s="38">
        <f>ABS('Put you Data'!E89-calcu!E146)</f>
        <v>0</v>
      </c>
      <c r="F89" s="38">
        <f>ABS('Put you Data'!F89-calcu!F146)</f>
        <v>119</v>
      </c>
      <c r="G89" s="38">
        <f>ABS('Put you Data'!G89-calcu!G146)</f>
        <v>133</v>
      </c>
      <c r="H89" s="38">
        <f>ABS('Put you Data'!H89-calcu!H146)</f>
        <v>0</v>
      </c>
      <c r="I89" s="38">
        <f>ABS('Put you Data'!I89-calcu!I146)</f>
        <v>0</v>
      </c>
      <c r="J89" s="38">
        <f>ABS('Put you Data'!J89-calcu!J146)</f>
        <v>0</v>
      </c>
      <c r="K89" s="38">
        <f>ABS('Put you Data'!K89-calcu!K146)</f>
        <v>0</v>
      </c>
      <c r="L89" s="38">
        <f>ABS('Put you Data'!L89-calcu!L146)</f>
        <v>99</v>
      </c>
      <c r="M89" s="38">
        <f>ABS('Put you Data'!M89-calcu!M146)</f>
        <v>0</v>
      </c>
      <c r="N89" s="38">
        <f>ABS('Put you Data'!N89-calcu!N146)</f>
        <v>0</v>
      </c>
      <c r="O89" s="38">
        <f>ABS('Put you Data'!O89-calcu!O146)</f>
        <v>0</v>
      </c>
      <c r="P89" s="37"/>
      <c r="R89" s="40">
        <v>11</v>
      </c>
      <c r="S89" s="38">
        <f>ABS('Put you Data'!S89-calcu!S146)</f>
        <v>0</v>
      </c>
      <c r="T89" s="38">
        <f>ABS('Put you Data'!T89-calcu!T146)</f>
        <v>0</v>
      </c>
      <c r="U89" s="38">
        <f>ABS('Put you Data'!U89-calcu!U146)</f>
        <v>0</v>
      </c>
      <c r="V89" s="38">
        <f>ABS('Put you Data'!V89-calcu!V146)</f>
        <v>0</v>
      </c>
      <c r="W89" s="38">
        <f>ABS('Put you Data'!W89-calcu!W146)</f>
        <v>0</v>
      </c>
      <c r="X89" s="38">
        <f>ABS('Put you Data'!X89-calcu!X146)</f>
        <v>0</v>
      </c>
      <c r="Y89" s="38">
        <f>ABS('Put you Data'!Y89-calcu!Y146)</f>
        <v>0</v>
      </c>
      <c r="Z89" s="38">
        <f>ABS('Put you Data'!Z89-calcu!Z146)</f>
        <v>0</v>
      </c>
      <c r="AA89" s="38">
        <f>ABS('Put you Data'!AA89-calcu!AA146)</f>
        <v>0</v>
      </c>
      <c r="AB89" s="38">
        <f>ABS('Put you Data'!AB89-calcu!AB146)</f>
        <v>0</v>
      </c>
      <c r="AC89" s="38">
        <f>ABS('Put you Data'!AC89-calcu!AC146)</f>
        <v>0</v>
      </c>
      <c r="AD89" s="38">
        <f>ABS('Put you Data'!AD89-calcu!AD146)</f>
        <v>0</v>
      </c>
      <c r="AE89" s="38">
        <f>ABS('Put you Data'!AE89-calcu!AE146)</f>
        <v>0</v>
      </c>
    </row>
    <row r="90" spans="2:33" x14ac:dyDescent="0.3">
      <c r="B90" s="40">
        <v>12</v>
      </c>
      <c r="C90" s="38">
        <f>ABS('Put you Data'!C90-calcu!C147)</f>
        <v>0</v>
      </c>
      <c r="D90" s="38">
        <f>ABS('Put you Data'!D90-calcu!D147)</f>
        <v>0</v>
      </c>
      <c r="E90" s="38">
        <f>ABS('Put you Data'!E90-calcu!E147)</f>
        <v>0</v>
      </c>
      <c r="F90" s="38">
        <f>ABS('Put you Data'!F90-calcu!F147)</f>
        <v>0</v>
      </c>
      <c r="G90" s="38">
        <f>ABS('Put you Data'!G90-calcu!G147)</f>
        <v>0</v>
      </c>
      <c r="H90" s="38">
        <f>ABS('Put you Data'!H90-calcu!H147)</f>
        <v>0</v>
      </c>
      <c r="I90" s="38">
        <f>ABS('Put you Data'!I90-calcu!I147)</f>
        <v>0</v>
      </c>
      <c r="J90" s="38">
        <f>ABS('Put you Data'!J90-calcu!J147)</f>
        <v>0</v>
      </c>
      <c r="K90" s="38">
        <f>ABS('Put you Data'!K90-calcu!K147)</f>
        <v>0</v>
      </c>
      <c r="L90" s="38">
        <f>ABS('Put you Data'!L90-calcu!L147)</f>
        <v>0</v>
      </c>
      <c r="M90" s="38">
        <f>ABS('Put you Data'!M90-calcu!M147)</f>
        <v>0</v>
      </c>
      <c r="N90" s="38">
        <f>ABS('Put you Data'!N90-calcu!N147)</f>
        <v>0</v>
      </c>
      <c r="O90" s="38">
        <f>ABS('Put you Data'!O90-calcu!O147)</f>
        <v>0</v>
      </c>
      <c r="P90" s="37"/>
      <c r="R90" s="40">
        <v>12</v>
      </c>
      <c r="S90" s="38">
        <f>ABS('Put you Data'!S90-calcu!S147)</f>
        <v>0</v>
      </c>
      <c r="T90" s="38">
        <f>ABS('Put you Data'!T90-calcu!T147)</f>
        <v>0</v>
      </c>
      <c r="U90" s="38">
        <f>ABS('Put you Data'!U90-calcu!U147)</f>
        <v>0</v>
      </c>
      <c r="V90" s="38">
        <f>ABS('Put you Data'!V90-calcu!V147)</f>
        <v>0</v>
      </c>
      <c r="W90" s="38">
        <f>ABS('Put you Data'!W90-calcu!W147)</f>
        <v>0</v>
      </c>
      <c r="X90" s="38">
        <f>ABS('Put you Data'!X90-calcu!X147)</f>
        <v>0</v>
      </c>
      <c r="Y90" s="38">
        <f>ABS('Put you Data'!Y90-calcu!Y147)</f>
        <v>0</v>
      </c>
      <c r="Z90" s="38">
        <f>ABS('Put you Data'!Z90-calcu!Z147)</f>
        <v>0</v>
      </c>
      <c r="AA90" s="38">
        <f>ABS('Put you Data'!AA90-calcu!AA147)</f>
        <v>0</v>
      </c>
      <c r="AB90" s="38">
        <f>ABS('Put you Data'!AB90-calcu!AB147)</f>
        <v>0</v>
      </c>
      <c r="AC90" s="38">
        <f>ABS('Put you Data'!AC90-calcu!AC147)</f>
        <v>0</v>
      </c>
      <c r="AD90" s="38">
        <f>ABS('Put you Data'!AD90-calcu!AD147)</f>
        <v>0</v>
      </c>
      <c r="AE90" s="38">
        <f>ABS('Put you Data'!AE90-calcu!AE147)</f>
        <v>0</v>
      </c>
    </row>
    <row r="91" spans="2:33" x14ac:dyDescent="0.3">
      <c r="P91" s="35">
        <f>SUM(C78:O90)</f>
        <v>4055</v>
      </c>
      <c r="Q91" s="35" t="s">
        <v>41</v>
      </c>
      <c r="AF91" s="35">
        <f>SUM(S78:AE90)</f>
        <v>1933</v>
      </c>
      <c r="AG91" s="35" t="s">
        <v>41</v>
      </c>
    </row>
    <row r="92" spans="2:33" x14ac:dyDescent="0.3">
      <c r="Q92" s="35">
        <f>IF(P91&lt;10,5,0)</f>
        <v>0</v>
      </c>
      <c r="AG92" s="35">
        <f>IF(AF91&lt;10,5,0)</f>
        <v>0</v>
      </c>
    </row>
  </sheetData>
  <sheetProtection algorithmName="SHA-512" hashValue="sbegL2XnYvx8BK84DWOSEaty5d0NAYixFRQx4VQNSkQNilLZsjBoGbkyD3jqjuFSCt2gYP4J+tlN0yEpPqvJPQ==" saltValue="cCwnl9WsnsVLP7r6JQqYkw==" spinCount="100000" sheet="1" objects="1" scenarios="1"/>
  <mergeCells count="1">
    <mergeCell ref="C4:D4"/>
  </mergeCells>
  <conditionalFormatting sqref="G3:S15">
    <cfRule type="cellIs" dxfId="12" priority="23" operator="equal">
      <formula>0</formula>
    </cfRule>
  </conditionalFormatting>
  <conditionalFormatting sqref="C27:O39">
    <cfRule type="cellIs" dxfId="11" priority="13" operator="equal">
      <formula>0</formula>
    </cfRule>
  </conditionalFormatting>
  <conditionalFormatting sqref="S27:AE39">
    <cfRule type="cellIs" dxfId="10" priority="12" operator="equal">
      <formula>0</formula>
    </cfRule>
  </conditionalFormatting>
  <conditionalFormatting sqref="AI27:AU39">
    <cfRule type="cellIs" dxfId="9" priority="11" operator="equal">
      <formula>0</formula>
    </cfRule>
  </conditionalFormatting>
  <conditionalFormatting sqref="C44:O56">
    <cfRule type="cellIs" dxfId="8" priority="10" operator="equal">
      <formula>0</formula>
    </cfRule>
  </conditionalFormatting>
  <conditionalFormatting sqref="S44:AE56">
    <cfRule type="cellIs" dxfId="7" priority="8" operator="equal">
      <formula>0</formula>
    </cfRule>
  </conditionalFormatting>
  <conditionalFormatting sqref="C61:O73">
    <cfRule type="cellIs" dxfId="6" priority="7" operator="equal">
      <formula>0</formula>
    </cfRule>
  </conditionalFormatting>
  <conditionalFormatting sqref="S61:AE73">
    <cfRule type="cellIs" dxfId="5" priority="6" operator="equal">
      <formula>0</formula>
    </cfRule>
  </conditionalFormatting>
  <conditionalFormatting sqref="C78:O90">
    <cfRule type="cellIs" dxfId="4" priority="5" operator="equal">
      <formula>0</formula>
    </cfRule>
  </conditionalFormatting>
  <conditionalFormatting sqref="S78:AE90">
    <cfRule type="cellIs" dxfId="3" priority="4" operator="equal">
      <formula>0</formula>
    </cfRule>
  </conditionalFormatting>
  <conditionalFormatting sqref="D19:F21">
    <cfRule type="cellIs" dxfId="2" priority="3" operator="equal">
      <formula>0</formula>
    </cfRule>
  </conditionalFormatting>
  <conditionalFormatting sqref="I19:K21">
    <cfRule type="cellIs" dxfId="1" priority="2" operator="equal">
      <formula>0</formula>
    </cfRule>
  </conditionalFormatting>
  <conditionalFormatting sqref="N19:P21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Put you Data</vt:lpstr>
      <vt:lpstr>Gen Image</vt:lpstr>
      <vt:lpstr>calcu</vt:lpstr>
      <vt:lpstr>Diffrences n 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Sk. Md. Masudul Ahsan</dc:creator>
  <cp:lastModifiedBy>hanium joli</cp:lastModifiedBy>
  <dcterms:created xsi:type="dcterms:W3CDTF">2024-05-27T15:37:29Z</dcterms:created>
  <dcterms:modified xsi:type="dcterms:W3CDTF">2025-10-21T09:06:30Z</dcterms:modified>
</cp:coreProperties>
</file>