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My Drive\Study Materials\CSE 4127\Assign\"/>
    </mc:Choice>
  </mc:AlternateContent>
  <xr:revisionPtr revIDLastSave="0" documentId="13_ncr:1_{6561B9E2-07F1-487E-92BD-B5B2F40A16BC}" xr6:coauthVersionLast="47" xr6:coauthVersionMax="47" xr10:uidLastSave="{00000000-0000-0000-0000-000000000000}"/>
  <bookViews>
    <workbookView xWindow="-120" yWindow="-120" windowWidth="29040" windowHeight="15720" xr2:uid="{7295E5EE-90DA-4210-8ADB-C3EFBC8015DD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0" i="1" l="1"/>
  <c r="C21" i="1"/>
  <c r="D34" i="1" l="1"/>
  <c r="D25" i="1"/>
  <c r="D28" i="1"/>
  <c r="D30" i="1"/>
  <c r="D23" i="1"/>
  <c r="D22" i="1"/>
  <c r="D29" i="1"/>
  <c r="D35" i="1"/>
  <c r="D26" i="1"/>
  <c r="D32" i="1"/>
  <c r="D24" i="1"/>
  <c r="D37" i="1"/>
  <c r="D27" i="1"/>
  <c r="D31" i="1"/>
  <c r="D36" i="1"/>
  <c r="D33" i="1"/>
  <c r="C36" i="1"/>
  <c r="C26" i="1"/>
  <c r="C22" i="1"/>
  <c r="C30" i="1"/>
  <c r="C23" i="1"/>
  <c r="C25" i="1"/>
  <c r="C28" i="1"/>
  <c r="C34" i="1"/>
  <c r="C37" i="1"/>
  <c r="C27" i="1"/>
  <c r="C31" i="1"/>
  <c r="C32" i="1"/>
  <c r="C33" i="1"/>
  <c r="C24" i="1"/>
  <c r="C29" i="1"/>
  <c r="C35" i="1"/>
  <c r="E36" i="1" l="1"/>
  <c r="G36" i="1"/>
  <c r="J36" i="1"/>
  <c r="K31" i="1"/>
  <c r="AA31" i="1" s="1"/>
  <c r="F31" i="1"/>
  <c r="H31" i="1"/>
  <c r="I24" i="1"/>
  <c r="K24" i="1"/>
  <c r="AA24" i="1" s="1"/>
  <c r="H24" i="1"/>
  <c r="F24" i="1"/>
  <c r="J33" i="1"/>
  <c r="E33" i="1"/>
  <c r="G33" i="1"/>
  <c r="I33" i="1"/>
  <c r="J31" i="1"/>
  <c r="E31" i="1"/>
  <c r="G31" i="1"/>
  <c r="I31" i="1"/>
  <c r="E37" i="1"/>
  <c r="J37" i="1"/>
  <c r="I37" i="1"/>
  <c r="I23" i="1"/>
  <c r="K23" i="1"/>
  <c r="AA23" i="1" s="1"/>
  <c r="D42" i="1"/>
  <c r="E42" i="1" s="1"/>
  <c r="H23" i="1"/>
  <c r="F23" i="1"/>
  <c r="E34" i="1"/>
  <c r="J34" i="1"/>
  <c r="G34" i="1"/>
  <c r="I30" i="1"/>
  <c r="F30" i="1"/>
  <c r="K30" i="1"/>
  <c r="AA30" i="1" s="1"/>
  <c r="H30" i="1"/>
  <c r="J26" i="1"/>
  <c r="E26" i="1"/>
  <c r="G26" i="1"/>
  <c r="H33" i="1"/>
  <c r="K33" i="1"/>
  <c r="AA33" i="1" s="1"/>
  <c r="F33" i="1"/>
  <c r="K27" i="1"/>
  <c r="AA27" i="1" s="1"/>
  <c r="H27" i="1"/>
  <c r="F27" i="1"/>
  <c r="G24" i="1"/>
  <c r="E24" i="1"/>
  <c r="J24" i="1"/>
  <c r="I26" i="1"/>
  <c r="K26" i="1"/>
  <c r="AA26" i="1" s="1"/>
  <c r="H26" i="1"/>
  <c r="F26" i="1"/>
  <c r="I29" i="1"/>
  <c r="K29" i="1"/>
  <c r="AA29" i="1" s="1"/>
  <c r="H29" i="1"/>
  <c r="F29" i="1"/>
  <c r="G28" i="1"/>
  <c r="E28" i="1"/>
  <c r="J28" i="1"/>
  <c r="I28" i="1"/>
  <c r="H28" i="1"/>
  <c r="K28" i="1"/>
  <c r="AA28" i="1" s="1"/>
  <c r="N44" i="1" s="1"/>
  <c r="F28" i="1"/>
  <c r="E22" i="1"/>
  <c r="J22" i="1"/>
  <c r="C38" i="1"/>
  <c r="G37" i="1" s="1"/>
  <c r="G22" i="1"/>
  <c r="E35" i="1"/>
  <c r="G35" i="1"/>
  <c r="J35" i="1"/>
  <c r="I35" i="1"/>
  <c r="J29" i="1"/>
  <c r="G29" i="1"/>
  <c r="E29" i="1"/>
  <c r="D43" i="1"/>
  <c r="E43" i="1" s="1"/>
  <c r="K35" i="1"/>
  <c r="AA35" i="1" s="1"/>
  <c r="H35" i="1"/>
  <c r="F35" i="1"/>
  <c r="E27" i="1"/>
  <c r="J27" i="1"/>
  <c r="G27" i="1"/>
  <c r="I27" i="1"/>
  <c r="G25" i="1"/>
  <c r="E25" i="1"/>
  <c r="J25" i="1"/>
  <c r="I25" i="1"/>
  <c r="F25" i="1"/>
  <c r="K25" i="1"/>
  <c r="AA25" i="1" s="1"/>
  <c r="H25" i="1"/>
  <c r="E30" i="1"/>
  <c r="J30" i="1"/>
  <c r="G30" i="1"/>
  <c r="I36" i="1"/>
  <c r="K36" i="1"/>
  <c r="AA36" i="1" s="1"/>
  <c r="F36" i="1"/>
  <c r="H36" i="1"/>
  <c r="D40" i="1"/>
  <c r="E40" i="1" s="1"/>
  <c r="K37" i="1"/>
  <c r="AA37" i="1" s="1"/>
  <c r="F37" i="1"/>
  <c r="I32" i="1"/>
  <c r="K32" i="1"/>
  <c r="AA32" i="1" s="1"/>
  <c r="F32" i="1"/>
  <c r="H32" i="1"/>
  <c r="E32" i="1"/>
  <c r="J32" i="1"/>
  <c r="G32" i="1"/>
  <c r="I22" i="1"/>
  <c r="D41" i="1"/>
  <c r="E41" i="1" s="1"/>
  <c r="D38" i="1"/>
  <c r="H37" i="1" s="1"/>
  <c r="H22" i="1"/>
  <c r="K22" i="1"/>
  <c r="AA22" i="1" s="1"/>
  <c r="F22" i="1"/>
  <c r="J23" i="1"/>
  <c r="E23" i="1"/>
  <c r="G23" i="1"/>
  <c r="I34" i="1"/>
  <c r="K34" i="1"/>
  <c r="AA34" i="1" s="1"/>
  <c r="H34" i="1"/>
  <c r="F34" i="1"/>
  <c r="Q32" i="1" l="1"/>
  <c r="P32" i="1"/>
  <c r="Q33" i="1"/>
  <c r="P33" i="1"/>
  <c r="AA13" i="1" s="1"/>
  <c r="T28" i="1"/>
  <c r="V28" i="1"/>
  <c r="U28" i="1"/>
  <c r="S31" i="1"/>
  <c r="R31" i="1"/>
  <c r="O31" i="1"/>
  <c r="N31" i="1"/>
  <c r="M31" i="1"/>
  <c r="N28" i="1"/>
  <c r="M28" i="1"/>
  <c r="X8" i="1" s="1"/>
  <c r="J40" i="1"/>
  <c r="K40" i="1" s="1"/>
  <c r="F40" i="1"/>
  <c r="G40" i="1" s="1"/>
  <c r="X34" i="1"/>
  <c r="AI14" i="1" s="1"/>
  <c r="W34" i="1"/>
  <c r="AH14" i="1" s="1"/>
  <c r="Y34" i="1"/>
  <c r="AJ14" i="1" s="1"/>
  <c r="T30" i="1"/>
  <c r="AE10" i="1" s="1"/>
  <c r="U30" i="1"/>
  <c r="V30" i="1"/>
  <c r="J43" i="1"/>
  <c r="F43" i="1"/>
  <c r="G43" i="1" s="1"/>
  <c r="Z23" i="1"/>
  <c r="AB23" i="1"/>
  <c r="S29" i="1"/>
  <c r="AD9" i="1" s="1"/>
  <c r="R29" i="1"/>
  <c r="O29" i="1"/>
  <c r="X29" i="1"/>
  <c r="W29" i="1"/>
  <c r="Y29" i="1"/>
  <c r="AJ9" i="1" s="1"/>
  <c r="X30" i="1"/>
  <c r="W30" i="1"/>
  <c r="AH10" i="1" s="1"/>
  <c r="Y30" i="1"/>
  <c r="AJ10" i="1" s="1"/>
  <c r="P22" i="1"/>
  <c r="Q22" i="1"/>
  <c r="R34" i="1"/>
  <c r="AC14" i="1" s="1"/>
  <c r="O34" i="1"/>
  <c r="Z14" i="1" s="1"/>
  <c r="S34" i="1"/>
  <c r="AD14" i="1" s="1"/>
  <c r="Q28" i="1"/>
  <c r="P28" i="1"/>
  <c r="R27" i="1"/>
  <c r="O27" i="1"/>
  <c r="S27" i="1"/>
  <c r="X32" i="1"/>
  <c r="W32" i="1"/>
  <c r="AH12" i="1" s="1"/>
  <c r="Y32" i="1"/>
  <c r="Z27" i="1"/>
  <c r="AB27" i="1"/>
  <c r="O44" i="1" s="1"/>
  <c r="P44" i="1" s="1"/>
  <c r="R44" i="1" s="1"/>
  <c r="Q37" i="1"/>
  <c r="P37" i="1"/>
  <c r="P35" i="1"/>
  <c r="Q35" i="1"/>
  <c r="AB15" i="1" s="1"/>
  <c r="Z31" i="1"/>
  <c r="AB31" i="1"/>
  <c r="R28" i="1"/>
  <c r="AC8" i="1" s="1"/>
  <c r="S28" i="1"/>
  <c r="O28" i="1"/>
  <c r="Z8" i="1" s="1"/>
  <c r="U36" i="1"/>
  <c r="AF16" i="1" s="1"/>
  <c r="T36" i="1"/>
  <c r="V36" i="1"/>
  <c r="Q24" i="1"/>
  <c r="P24" i="1"/>
  <c r="S30" i="1"/>
  <c r="O30" i="1"/>
  <c r="R30" i="1"/>
  <c r="Z29" i="1"/>
  <c r="AB29" i="1"/>
  <c r="Q26" i="1"/>
  <c r="AB6" i="1" s="1"/>
  <c r="P26" i="1"/>
  <c r="AA6" i="1" s="1"/>
  <c r="T24" i="1"/>
  <c r="AE4" i="1" s="1"/>
  <c r="V24" i="1"/>
  <c r="AG4" i="1" s="1"/>
  <c r="U24" i="1"/>
  <c r="AF4" i="1" s="1"/>
  <c r="Z30" i="1"/>
  <c r="O43" i="1" s="1"/>
  <c r="AB30" i="1"/>
  <c r="X35" i="1"/>
  <c r="AI15" i="1" s="1"/>
  <c r="W35" i="1"/>
  <c r="Y35" i="1"/>
  <c r="V26" i="1"/>
  <c r="AG6" i="1" s="1"/>
  <c r="U26" i="1"/>
  <c r="T26" i="1"/>
  <c r="Z34" i="1"/>
  <c r="AB34" i="1"/>
  <c r="T22" i="1"/>
  <c r="U22" i="1"/>
  <c r="V22" i="1"/>
  <c r="N30" i="1"/>
  <c r="M30" i="1"/>
  <c r="Z35" i="1"/>
  <c r="AB35" i="1"/>
  <c r="M34" i="1"/>
  <c r="N34" i="1"/>
  <c r="X24" i="1"/>
  <c r="W24" i="1"/>
  <c r="AH4" i="1" s="1"/>
  <c r="Y24" i="1"/>
  <c r="AJ4" i="1" s="1"/>
  <c r="U32" i="1"/>
  <c r="AF12" i="1" s="1"/>
  <c r="T32" i="1"/>
  <c r="V32" i="1"/>
  <c r="AG12" i="1" s="1"/>
  <c r="Z37" i="1"/>
  <c r="AB37" i="1"/>
  <c r="N37" i="1"/>
  <c r="M37" i="1"/>
  <c r="X31" i="1"/>
  <c r="W31" i="1"/>
  <c r="Y31" i="1"/>
  <c r="U33" i="1"/>
  <c r="V33" i="1"/>
  <c r="T33" i="1"/>
  <c r="S26" i="1"/>
  <c r="R26" i="1"/>
  <c r="AC6" i="1" s="1"/>
  <c r="O26" i="1"/>
  <c r="X33" i="1"/>
  <c r="AI13" i="1" s="1"/>
  <c r="Y33" i="1"/>
  <c r="AJ13" i="1" s="1"/>
  <c r="W33" i="1"/>
  <c r="AH13" i="1" s="1"/>
  <c r="Q29" i="1"/>
  <c r="AB9" i="1" s="1"/>
  <c r="P29" i="1"/>
  <c r="AA9" i="1" s="1"/>
  <c r="R23" i="1"/>
  <c r="O23" i="1"/>
  <c r="S23" i="1"/>
  <c r="M23" i="1"/>
  <c r="N23" i="1"/>
  <c r="Q30" i="1"/>
  <c r="P30" i="1"/>
  <c r="U37" i="1"/>
  <c r="T37" i="1"/>
  <c r="V37" i="1"/>
  <c r="U23" i="1"/>
  <c r="N42" i="1" s="1"/>
  <c r="V23" i="1"/>
  <c r="T23" i="1"/>
  <c r="R22" i="1"/>
  <c r="O22" i="1"/>
  <c r="S22" i="1"/>
  <c r="J42" i="1"/>
  <c r="F42" i="1"/>
  <c r="G42" i="1" s="1"/>
  <c r="G44" i="1" s="1"/>
  <c r="M27" i="1"/>
  <c r="N27" i="1"/>
  <c r="T29" i="1"/>
  <c r="AE9" i="1" s="1"/>
  <c r="V29" i="1"/>
  <c r="AG9" i="1" s="1"/>
  <c r="U29" i="1"/>
  <c r="AF9" i="1" s="1"/>
  <c r="S35" i="1"/>
  <c r="O35" i="1"/>
  <c r="R35" i="1"/>
  <c r="R25" i="1"/>
  <c r="O25" i="1"/>
  <c r="S25" i="1"/>
  <c r="X27" i="1"/>
  <c r="W27" i="1"/>
  <c r="Y27" i="1"/>
  <c r="X28" i="1"/>
  <c r="Y28" i="1"/>
  <c r="AJ8" i="1" s="1"/>
  <c r="W28" i="1"/>
  <c r="AH8" i="1" s="1"/>
  <c r="Q34" i="1"/>
  <c r="AB14" i="1" s="1"/>
  <c r="P34" i="1"/>
  <c r="AA14" i="1" s="1"/>
  <c r="Z28" i="1"/>
  <c r="AB28" i="1"/>
  <c r="T34" i="1"/>
  <c r="U34" i="1"/>
  <c r="AF14" i="1" s="1"/>
  <c r="V34" i="1"/>
  <c r="AG14" i="1" s="1"/>
  <c r="N26" i="1"/>
  <c r="Y6" i="1" s="1"/>
  <c r="M26" i="1"/>
  <c r="T35" i="1"/>
  <c r="V35" i="1"/>
  <c r="U35" i="1"/>
  <c r="Z26" i="1"/>
  <c r="AB26" i="1"/>
  <c r="R33" i="1"/>
  <c r="O33" i="1"/>
  <c r="S33" i="1"/>
  <c r="AD13" i="1" s="1"/>
  <c r="P36" i="1"/>
  <c r="Q36" i="1"/>
  <c r="M33" i="1"/>
  <c r="X13" i="1" s="1"/>
  <c r="N33" i="1"/>
  <c r="Y13" i="1" s="1"/>
  <c r="N29" i="1"/>
  <c r="M29" i="1"/>
  <c r="Z33" i="1"/>
  <c r="AB33" i="1"/>
  <c r="X36" i="1"/>
  <c r="AI16" i="1" s="1"/>
  <c r="W36" i="1"/>
  <c r="AH16" i="1" s="1"/>
  <c r="Y36" i="1"/>
  <c r="U25" i="1"/>
  <c r="V25" i="1"/>
  <c r="T25" i="1"/>
  <c r="X26" i="1"/>
  <c r="W26" i="1"/>
  <c r="Y26" i="1"/>
  <c r="P23" i="1"/>
  <c r="Q23" i="1"/>
  <c r="N41" i="1" s="1"/>
  <c r="T31" i="1"/>
  <c r="V31" i="1"/>
  <c r="AG11" i="1" s="1"/>
  <c r="U31" i="1"/>
  <c r="AF11" i="1" s="1"/>
  <c r="J41" i="1"/>
  <c r="F41" i="1"/>
  <c r="G41" i="1" s="1"/>
  <c r="M35" i="1"/>
  <c r="X15" i="1" s="1"/>
  <c r="N35" i="1"/>
  <c r="Z24" i="1"/>
  <c r="AB24" i="1"/>
  <c r="P31" i="1"/>
  <c r="AA11" i="1" s="1"/>
  <c r="Q31" i="1"/>
  <c r="AB11" i="1" s="1"/>
  <c r="X22" i="1"/>
  <c r="W22" i="1"/>
  <c r="Y22" i="1"/>
  <c r="Q25" i="1"/>
  <c r="AB5" i="1" s="1"/>
  <c r="P25" i="1"/>
  <c r="AA5" i="1" s="1"/>
  <c r="N24" i="1"/>
  <c r="M24" i="1"/>
  <c r="O32" i="1"/>
  <c r="S32" i="1"/>
  <c r="R32" i="1"/>
  <c r="AC12" i="1" s="1"/>
  <c r="X25" i="1"/>
  <c r="AI5" i="1" s="1"/>
  <c r="Y25" i="1"/>
  <c r="W25" i="1"/>
  <c r="S37" i="1"/>
  <c r="O37" i="1"/>
  <c r="R37" i="1"/>
  <c r="S24" i="1"/>
  <c r="AD4" i="1" s="1"/>
  <c r="R24" i="1"/>
  <c r="O24" i="1"/>
  <c r="Z36" i="1"/>
  <c r="AB36" i="1"/>
  <c r="Z32" i="1"/>
  <c r="AB32" i="1"/>
  <c r="Z25" i="1"/>
  <c r="AB25" i="1"/>
  <c r="Z22" i="1"/>
  <c r="AB22" i="1"/>
  <c r="Q27" i="1"/>
  <c r="P27" i="1"/>
  <c r="X23" i="1"/>
  <c r="Y23" i="1"/>
  <c r="W23" i="1"/>
  <c r="R36" i="1"/>
  <c r="AC16" i="1" s="1"/>
  <c r="O36" i="1"/>
  <c r="Z16" i="1" s="1"/>
  <c r="S36" i="1"/>
  <c r="N32" i="1"/>
  <c r="Y12" i="1" s="1"/>
  <c r="M32" i="1"/>
  <c r="X12" i="1" s="1"/>
  <c r="N25" i="1"/>
  <c r="Y5" i="1" s="1"/>
  <c r="M25" i="1"/>
  <c r="X5" i="1" s="1"/>
  <c r="N22" i="1"/>
  <c r="M22" i="1"/>
  <c r="V27" i="1"/>
  <c r="U27" i="1"/>
  <c r="T27" i="1"/>
  <c r="AE7" i="1" s="1"/>
  <c r="X37" i="1"/>
  <c r="W37" i="1"/>
  <c r="Y37" i="1"/>
  <c r="N36" i="1"/>
  <c r="M36" i="1"/>
  <c r="AF8" i="1" l="1"/>
  <c r="AG8" i="1"/>
  <c r="AJ15" i="1"/>
  <c r="AB13" i="1"/>
  <c r="AF7" i="1"/>
  <c r="AH15" i="1"/>
  <c r="AJ16" i="1"/>
  <c r="AB7" i="1"/>
  <c r="AI7" i="1"/>
  <c r="Z10" i="1"/>
  <c r="AI8" i="1"/>
  <c r="Z12" i="1"/>
  <c r="AC13" i="1"/>
  <c r="AC10" i="1"/>
  <c r="AE8" i="1"/>
  <c r="Z4" i="1"/>
  <c r="AE12" i="1"/>
  <c r="AI4" i="1"/>
  <c r="Y8" i="1"/>
  <c r="K41" i="1"/>
  <c r="K42" i="1" s="1"/>
  <c r="K43" i="1" s="1"/>
  <c r="X14" i="1"/>
  <c r="AH9" i="1"/>
  <c r="AA16" i="1"/>
  <c r="AD6" i="1"/>
  <c r="AI9" i="1"/>
  <c r="Z11" i="1"/>
  <c r="AC4" i="1"/>
  <c r="Y15" i="1"/>
  <c r="N43" i="1"/>
  <c r="P43" i="1" s="1"/>
  <c r="R43" i="1" s="1"/>
  <c r="AD16" i="1"/>
  <c r="Y9" i="1"/>
  <c r="H44" i="1"/>
  <c r="AA15" i="1"/>
  <c r="X11" i="1"/>
  <c r="AJ5" i="1"/>
  <c r="AB16" i="1"/>
  <c r="Y11" i="1"/>
  <c r="AE11" i="1"/>
  <c r="AJ7" i="1"/>
  <c r="AE13" i="1"/>
  <c r="X10" i="1"/>
  <c r="Z9" i="1"/>
  <c r="AC11" i="1"/>
  <c r="X16" i="1"/>
  <c r="AA7" i="1"/>
  <c r="AD12" i="1"/>
  <c r="Z13" i="1"/>
  <c r="AH7" i="1"/>
  <c r="AG13" i="1"/>
  <c r="Y10" i="1"/>
  <c r="AJ12" i="1"/>
  <c r="AC9" i="1"/>
  <c r="AD11" i="1"/>
  <c r="AD8" i="1"/>
  <c r="O40" i="1"/>
  <c r="AE14" i="1"/>
  <c r="X9" i="1"/>
  <c r="Z6" i="1"/>
  <c r="O41" i="1"/>
  <c r="P41" i="1" s="1"/>
  <c r="R41" i="1" s="1"/>
  <c r="X4" i="1"/>
  <c r="AI12" i="1"/>
  <c r="AH6" i="1"/>
  <c r="AF15" i="1"/>
  <c r="AC5" i="1"/>
  <c r="AI11" i="1"/>
  <c r="AA4" i="1"/>
  <c r="Z7" i="1"/>
  <c r="AE5" i="1"/>
  <c r="AB10" i="1"/>
  <c r="AC7" i="1"/>
  <c r="AG5" i="1"/>
  <c r="AE15" i="1"/>
  <c r="Z15" i="1"/>
  <c r="AE6" i="1"/>
  <c r="AG16" i="1"/>
  <c r="AA8" i="1"/>
  <c r="AG10" i="1"/>
  <c r="AA12" i="1"/>
  <c r="Y7" i="1"/>
  <c r="X7" i="1"/>
  <c r="H43" i="1"/>
  <c r="I43" i="1" s="1"/>
  <c r="J68" i="1" s="1"/>
  <c r="H42" i="1"/>
  <c r="I42" i="1" s="1"/>
  <c r="J67" i="1" s="1"/>
  <c r="Y14" i="1"/>
  <c r="O42" i="1"/>
  <c r="P42" i="1" s="1"/>
  <c r="R42" i="1" s="1"/>
  <c r="AI10" i="1"/>
  <c r="AH5" i="1"/>
  <c r="Y16" i="1"/>
  <c r="AF13" i="1"/>
  <c r="AJ6" i="1"/>
  <c r="AD5" i="1"/>
  <c r="AJ11" i="1"/>
  <c r="N40" i="1"/>
  <c r="Y4" i="1"/>
  <c r="Z5" i="1"/>
  <c r="AH11" i="1"/>
  <c r="AD10" i="1"/>
  <c r="AD7" i="1"/>
  <c r="AI6" i="1"/>
  <c r="AA10" i="1"/>
  <c r="AG15" i="1"/>
  <c r="AC15" i="1"/>
  <c r="AB4" i="1"/>
  <c r="AG7" i="1"/>
  <c r="AF5" i="1"/>
  <c r="X6" i="1"/>
  <c r="AD15" i="1"/>
  <c r="AF6" i="1"/>
  <c r="AE16" i="1"/>
  <c r="AB8" i="1"/>
  <c r="AF10" i="1"/>
  <c r="AB12" i="1"/>
  <c r="P40" i="1" l="1"/>
  <c r="R40" i="1" s="1"/>
  <c r="W78" i="1"/>
  <c r="W79" i="1"/>
  <c r="W83" i="1"/>
  <c r="W71" i="1"/>
  <c r="W80" i="1"/>
  <c r="W86" i="1"/>
  <c r="W81" i="1"/>
  <c r="W87" i="1"/>
  <c r="W75" i="1"/>
  <c r="W82" i="1"/>
  <c r="W84" i="1"/>
  <c r="W76" i="1"/>
  <c r="W85" i="1"/>
  <c r="W72" i="1"/>
  <c r="W73" i="1"/>
  <c r="W74" i="1"/>
  <c r="W77" i="1"/>
  <c r="D75" i="1"/>
  <c r="D80" i="1"/>
  <c r="D82" i="1"/>
  <c r="D85" i="1"/>
  <c r="D87" i="1"/>
  <c r="D72" i="1"/>
  <c r="D81" i="1"/>
  <c r="D84" i="1"/>
  <c r="D71" i="1"/>
  <c r="D86" i="1"/>
  <c r="D74" i="1"/>
  <c r="D73" i="1"/>
  <c r="D76" i="1"/>
  <c r="D77" i="1"/>
  <c r="D78" i="1"/>
  <c r="D79" i="1"/>
  <c r="D83" i="1"/>
  <c r="H69" i="1" l="1" a="1"/>
  <c r="P83" i="1" s="1" a="1"/>
  <c r="P83" i="1" s="1"/>
  <c r="O13" i="1" s="1"/>
  <c r="L80" i="1" l="1" a="1"/>
  <c r="L80" i="1" s="1"/>
  <c r="K10" i="1" s="1"/>
  <c r="T76" i="1" a="1"/>
  <c r="T76" i="1" s="1"/>
  <c r="S6" i="1" s="1"/>
  <c r="R80" i="1" a="1"/>
  <c r="R80" i="1" s="1"/>
  <c r="Q10" i="1" s="1"/>
  <c r="T85" i="1" a="1"/>
  <c r="T85" i="1" s="1"/>
  <c r="S15" i="1" s="1"/>
  <c r="P82" i="1" a="1"/>
  <c r="P82" i="1" s="1"/>
  <c r="O12" i="1" s="1"/>
  <c r="M76" i="1" a="1"/>
  <c r="M76" i="1" s="1"/>
  <c r="L6" i="1" s="1"/>
  <c r="L76" i="1" a="1"/>
  <c r="L76" i="1" s="1"/>
  <c r="K6" i="1" s="1"/>
  <c r="T77" i="1" a="1"/>
  <c r="T77" i="1" s="1"/>
  <c r="S7" i="1" s="1"/>
  <c r="O74" i="1" a="1"/>
  <c r="O74" i="1" s="1"/>
  <c r="N4" i="1" s="1"/>
  <c r="Q74" i="1" a="1"/>
  <c r="Q74" i="1" s="1"/>
  <c r="P4" i="1" s="1"/>
  <c r="R73" i="1" a="1"/>
  <c r="R73" i="1" s="1"/>
  <c r="Q3" i="1" s="1"/>
  <c r="S73" i="1" a="1"/>
  <c r="S73" i="1" s="1"/>
  <c r="R3" i="1" s="1"/>
  <c r="J79" i="1" a="1"/>
  <c r="J79" i="1" s="1"/>
  <c r="I9" i="1" s="1"/>
  <c r="M80" i="1" a="1"/>
  <c r="M80" i="1" s="1"/>
  <c r="L10" i="1" s="1"/>
  <c r="J85" i="1" a="1"/>
  <c r="J85" i="1" s="1"/>
  <c r="I15" i="1" s="1"/>
  <c r="N85" i="1" a="1"/>
  <c r="N85" i="1" s="1"/>
  <c r="M15" i="1" s="1"/>
  <c r="M81" i="1" a="1"/>
  <c r="M81" i="1" s="1"/>
  <c r="L11" i="1" s="1"/>
  <c r="L81" i="1" a="1"/>
  <c r="L81" i="1" s="1"/>
  <c r="K11" i="1" s="1"/>
  <c r="Q81" i="1" a="1"/>
  <c r="Q81" i="1" s="1"/>
  <c r="P11" i="1" s="1"/>
  <c r="P74" i="1" a="1"/>
  <c r="P74" i="1" s="1"/>
  <c r="O4" i="1" s="1"/>
  <c r="K74" i="1" a="1"/>
  <c r="K74" i="1" s="1"/>
  <c r="J4" i="1" s="1"/>
  <c r="M78" i="1" a="1"/>
  <c r="M78" i="1" s="1"/>
  <c r="L8" i="1" s="1"/>
  <c r="Q79" i="1" a="1"/>
  <c r="Q79" i="1" s="1"/>
  <c r="P9" i="1" s="1"/>
  <c r="K73" i="1" a="1"/>
  <c r="K73" i="1" s="1"/>
  <c r="J3" i="1" s="1"/>
  <c r="T79" i="1" a="1"/>
  <c r="T79" i="1" s="1"/>
  <c r="S9" i="1" s="1"/>
  <c r="I80" i="1" a="1"/>
  <c r="I80" i="1" s="1"/>
  <c r="H10" i="1" s="1"/>
  <c r="K81" i="1" a="1"/>
  <c r="K81" i="1" s="1"/>
  <c r="J11" i="1" s="1"/>
  <c r="K76" i="1" a="1"/>
  <c r="K76" i="1" s="1"/>
  <c r="J6" i="1" s="1"/>
  <c r="L77" i="1" a="1"/>
  <c r="L77" i="1" s="1"/>
  <c r="K7" i="1" s="1"/>
  <c r="T78" i="1" a="1"/>
  <c r="T78" i="1" s="1"/>
  <c r="S8" i="1" s="1"/>
  <c r="M73" i="1" a="1"/>
  <c r="M73" i="1" s="1"/>
  <c r="L3" i="1" s="1"/>
  <c r="S79" i="1" a="1"/>
  <c r="S79" i="1" s="1"/>
  <c r="R9" i="1" s="1"/>
  <c r="H69" i="1"/>
  <c r="S83" i="1" a="1"/>
  <c r="S83" i="1" s="1"/>
  <c r="R13" i="1" s="1"/>
  <c r="I79" i="1" a="1"/>
  <c r="I79" i="1" s="1"/>
  <c r="H9" i="1" s="1"/>
  <c r="I77" i="1" a="1"/>
  <c r="I77" i="1" s="1"/>
  <c r="H7" i="1" s="1"/>
  <c r="R76" i="1" a="1"/>
  <c r="R76" i="1" s="1"/>
  <c r="Q6" i="1" s="1"/>
  <c r="K85" i="1" a="1"/>
  <c r="K85" i="1" s="1"/>
  <c r="J15" i="1" s="1"/>
  <c r="O80" i="1" a="1"/>
  <c r="O80" i="1" s="1"/>
  <c r="N10" i="1" s="1"/>
  <c r="I73" i="1" a="1"/>
  <c r="I73" i="1" s="1"/>
  <c r="H3" i="1" s="1"/>
  <c r="N74" i="1" a="1"/>
  <c r="N74" i="1" s="1"/>
  <c r="M4" i="1" s="1"/>
  <c r="P81" i="1" a="1"/>
  <c r="P81" i="1" s="1"/>
  <c r="O11" i="1" s="1"/>
  <c r="M83" i="1" a="1"/>
  <c r="M83" i="1" s="1"/>
  <c r="L13" i="1" s="1"/>
  <c r="Q77" i="1" a="1"/>
  <c r="Q77" i="1" s="1"/>
  <c r="P7" i="1" s="1"/>
  <c r="J76" i="1" a="1"/>
  <c r="J76" i="1" s="1"/>
  <c r="I6" i="1" s="1"/>
  <c r="S85" i="1" a="1"/>
  <c r="S85" i="1" s="1"/>
  <c r="R15" i="1" s="1"/>
  <c r="J80" i="1" a="1"/>
  <c r="J80" i="1" s="1"/>
  <c r="I10" i="1" s="1"/>
  <c r="P73" i="1" a="1"/>
  <c r="P73" i="1" s="1"/>
  <c r="O3" i="1" s="1"/>
  <c r="P84" i="1" a="1"/>
  <c r="P84" i="1" s="1"/>
  <c r="O14" i="1" s="1"/>
  <c r="R81" i="1" a="1"/>
  <c r="R81" i="1" s="1"/>
  <c r="Q11" i="1" s="1"/>
  <c r="I83" i="1" a="1"/>
  <c r="I83" i="1" s="1"/>
  <c r="H13" i="1" s="1"/>
  <c r="R79" i="1" a="1"/>
  <c r="R79" i="1" s="1"/>
  <c r="Q9" i="1" s="1"/>
  <c r="N77" i="1" a="1"/>
  <c r="N77" i="1" s="1"/>
  <c r="M7" i="1" s="1"/>
  <c r="I76" i="1" a="1"/>
  <c r="I76" i="1" s="1"/>
  <c r="H6" i="1" s="1"/>
  <c r="R85" i="1" a="1"/>
  <c r="R85" i="1" s="1"/>
  <c r="Q15" i="1" s="1"/>
  <c r="P80" i="1" a="1"/>
  <c r="P80" i="1" s="1"/>
  <c r="O10" i="1" s="1"/>
  <c r="T73" i="1" a="1"/>
  <c r="T73" i="1" s="1"/>
  <c r="S3" i="1" s="1"/>
  <c r="K84" i="1" a="1"/>
  <c r="K84" i="1" s="1"/>
  <c r="J14" i="1" s="1"/>
  <c r="J81" i="1" a="1"/>
  <c r="J81" i="1" s="1"/>
  <c r="I11" i="1" s="1"/>
  <c r="K83" i="1" a="1"/>
  <c r="K83" i="1" s="1"/>
  <c r="J13" i="1" s="1"/>
  <c r="M79" i="1" a="1"/>
  <c r="M79" i="1" s="1"/>
  <c r="L9" i="1" s="1"/>
  <c r="S77" i="1" a="1"/>
  <c r="S77" i="1" s="1"/>
  <c r="R7" i="1" s="1"/>
  <c r="O85" i="1" a="1"/>
  <c r="O85" i="1" s="1"/>
  <c r="N15" i="1" s="1"/>
  <c r="M75" i="1" a="1"/>
  <c r="M75" i="1" s="1"/>
  <c r="L5" i="1" s="1"/>
  <c r="J73" i="1" a="1"/>
  <c r="J73" i="1" s="1"/>
  <c r="I3" i="1" s="1"/>
  <c r="O84" i="1" a="1"/>
  <c r="O84" i="1" s="1"/>
  <c r="N14" i="1" s="1"/>
  <c r="T81" i="1" a="1"/>
  <c r="T81" i="1" s="1"/>
  <c r="S11" i="1" s="1"/>
  <c r="R83" i="1" a="1"/>
  <c r="R83" i="1" s="1"/>
  <c r="Q13" i="1" s="1"/>
  <c r="K79" i="1" a="1"/>
  <c r="K79" i="1" s="1"/>
  <c r="J9" i="1" s="1"/>
  <c r="P77" i="1" a="1"/>
  <c r="P77" i="1" s="1"/>
  <c r="O7" i="1" s="1"/>
  <c r="I82" i="1" a="1"/>
  <c r="I82" i="1" s="1"/>
  <c r="H12" i="1" s="1"/>
  <c r="T75" i="1" a="1"/>
  <c r="T75" i="1" s="1"/>
  <c r="S5" i="1" s="1"/>
  <c r="O73" i="1" a="1"/>
  <c r="O73" i="1" s="1"/>
  <c r="N3" i="1" s="1"/>
  <c r="S81" i="1" a="1"/>
  <c r="S81" i="1" s="1"/>
  <c r="R11" i="1" s="1"/>
  <c r="J82" i="1" a="1"/>
  <c r="J82" i="1" s="1"/>
  <c r="I12" i="1" s="1"/>
  <c r="Q85" i="1" a="1"/>
  <c r="Q85" i="1" s="1"/>
  <c r="P15" i="1" s="1"/>
  <c r="L73" i="1" a="1"/>
  <c r="L73" i="1" s="1"/>
  <c r="K3" i="1" s="1"/>
  <c r="I84" i="1" a="1"/>
  <c r="I84" i="1" s="1"/>
  <c r="H14" i="1" s="1"/>
  <c r="R77" i="1" a="1"/>
  <c r="R77" i="1" s="1"/>
  <c r="Q7" i="1" s="1"/>
  <c r="Q73" i="1" a="1"/>
  <c r="Q73" i="1" s="1"/>
  <c r="P3" i="1" s="1"/>
  <c r="N84" i="1" a="1"/>
  <c r="N84" i="1" s="1"/>
  <c r="M14" i="1" s="1"/>
  <c r="T83" i="1" a="1"/>
  <c r="T83" i="1" s="1"/>
  <c r="S13" i="1" s="1"/>
  <c r="M85" i="1" a="1"/>
  <c r="M85" i="1" s="1"/>
  <c r="L15" i="1" s="1"/>
  <c r="N73" i="1" a="1"/>
  <c r="N73" i="1" s="1"/>
  <c r="M3" i="1" s="1"/>
  <c r="L83" i="1" a="1"/>
  <c r="L83" i="1" s="1"/>
  <c r="K13" i="1" s="1"/>
  <c r="K77" i="1" a="1"/>
  <c r="K77" i="1" s="1"/>
  <c r="J7" i="1" s="1"/>
  <c r="P85" i="1" a="1"/>
  <c r="P85" i="1" s="1"/>
  <c r="O15" i="1" s="1"/>
  <c r="T74" i="1" a="1"/>
  <c r="T74" i="1" s="1"/>
  <c r="S4" i="1" s="1"/>
  <c r="K78" i="1" a="1"/>
  <c r="K78" i="1" s="1"/>
  <c r="J8" i="1" s="1"/>
  <c r="Q82" i="1" a="1"/>
  <c r="Q82" i="1" s="1"/>
  <c r="P12" i="1" s="1"/>
  <c r="P75" i="1" a="1"/>
  <c r="P75" i="1" s="1"/>
  <c r="O5" i="1" s="1"/>
  <c r="P78" i="1" a="1"/>
  <c r="P78" i="1" s="1"/>
  <c r="O8" i="1" s="1"/>
  <c r="Q75" i="1" a="1"/>
  <c r="Q75" i="1" s="1"/>
  <c r="P5" i="1" s="1"/>
  <c r="Q83" i="1" a="1"/>
  <c r="Q83" i="1" s="1"/>
  <c r="P13" i="1" s="1"/>
  <c r="P76" i="1" a="1"/>
  <c r="P76" i="1" s="1"/>
  <c r="O6" i="1" s="1"/>
  <c r="L82" i="1" a="1"/>
  <c r="L82" i="1" s="1"/>
  <c r="K12" i="1" s="1"/>
  <c r="N80" i="1" a="1"/>
  <c r="N80" i="1" s="1"/>
  <c r="M10" i="1" s="1"/>
  <c r="S75" i="1" a="1"/>
  <c r="S75" i="1" s="1"/>
  <c r="R5" i="1" s="1"/>
  <c r="J84" i="1" a="1"/>
  <c r="J84" i="1" s="1"/>
  <c r="I14" i="1" s="1"/>
  <c r="N79" i="1" a="1"/>
  <c r="N79" i="1" s="1"/>
  <c r="M9" i="1" s="1"/>
  <c r="K82" i="1" a="1"/>
  <c r="K82" i="1" s="1"/>
  <c r="J12" i="1" s="1"/>
  <c r="R75" i="1" a="1"/>
  <c r="R75" i="1" s="1"/>
  <c r="Q5" i="1" s="1"/>
  <c r="O78" i="1" a="1"/>
  <c r="O78" i="1" s="1"/>
  <c r="N8" i="1" s="1"/>
  <c r="Q76" i="1" a="1"/>
  <c r="Q76" i="1" s="1"/>
  <c r="P6" i="1" s="1"/>
  <c r="R82" i="1" a="1"/>
  <c r="R82" i="1" s="1"/>
  <c r="Q12" i="1" s="1"/>
  <c r="T80" i="1" a="1"/>
  <c r="T80" i="1" s="1"/>
  <c r="S10" i="1" s="1"/>
  <c r="L75" i="1" a="1"/>
  <c r="L75" i="1" s="1"/>
  <c r="K5" i="1" s="1"/>
  <c r="L84" i="1" a="1"/>
  <c r="L84" i="1" s="1"/>
  <c r="K14" i="1" s="1"/>
  <c r="L79" i="1" a="1"/>
  <c r="L79" i="1" s="1"/>
  <c r="K9" i="1" s="1"/>
  <c r="S80" i="1" a="1"/>
  <c r="S80" i="1" s="1"/>
  <c r="R10" i="1" s="1"/>
  <c r="N81" i="1" a="1"/>
  <c r="N81" i="1" s="1"/>
  <c r="M11" i="1" s="1"/>
  <c r="R78" i="1" a="1"/>
  <c r="R78" i="1" s="1"/>
  <c r="Q8" i="1" s="1"/>
  <c r="S76" i="1" a="1"/>
  <c r="S76" i="1" s="1"/>
  <c r="R6" i="1" s="1"/>
  <c r="L85" i="1" a="1"/>
  <c r="L85" i="1" s="1"/>
  <c r="K15" i="1" s="1"/>
  <c r="T84" i="1" a="1"/>
  <c r="T84" i="1" s="1"/>
  <c r="S14" i="1" s="1"/>
  <c r="J83" i="1" a="1"/>
  <c r="J83" i="1" s="1"/>
  <c r="I13" i="1" s="1"/>
  <c r="O77" i="1" a="1"/>
  <c r="O77" i="1" s="1"/>
  <c r="N7" i="1" s="1"/>
  <c r="O75" i="1" a="1"/>
  <c r="O75" i="1" s="1"/>
  <c r="N5" i="1" s="1"/>
  <c r="I81" i="1" a="1"/>
  <c r="I81" i="1" s="1"/>
  <c r="H11" i="1" s="1"/>
  <c r="S78" i="1" a="1"/>
  <c r="S78" i="1" s="1"/>
  <c r="R8" i="1" s="1"/>
  <c r="M82" i="1" a="1"/>
  <c r="M82" i="1" s="1"/>
  <c r="L12" i="1" s="1"/>
  <c r="J75" i="1" a="1"/>
  <c r="J75" i="1" s="1"/>
  <c r="I5" i="1" s="1"/>
  <c r="O81" i="1" a="1"/>
  <c r="O81" i="1" s="1"/>
  <c r="N11" i="1" s="1"/>
  <c r="I78" i="1" a="1"/>
  <c r="I78" i="1" s="1"/>
  <c r="H8" i="1" s="1"/>
  <c r="S82" i="1" a="1"/>
  <c r="S82" i="1" s="1"/>
  <c r="R12" i="1" s="1"/>
  <c r="K75" i="1" a="1"/>
  <c r="K75" i="1" s="1"/>
  <c r="J5" i="1" s="1"/>
  <c r="R84" i="1" a="1"/>
  <c r="R84" i="1" s="1"/>
  <c r="Q14" i="1" s="1"/>
  <c r="Q78" i="1" a="1"/>
  <c r="Q78" i="1" s="1"/>
  <c r="P8" i="1" s="1"/>
  <c r="O82" i="1" a="1"/>
  <c r="O82" i="1" s="1"/>
  <c r="N12" i="1" s="1"/>
  <c r="N75" i="1" a="1"/>
  <c r="N75" i="1" s="1"/>
  <c r="M5" i="1" s="1"/>
  <c r="Q84" i="1" a="1"/>
  <c r="Q84" i="1" s="1"/>
  <c r="P14" i="1" s="1"/>
  <c r="O83" i="1" a="1"/>
  <c r="O83" i="1" s="1"/>
  <c r="N13" i="1" s="1"/>
  <c r="M77" i="1" a="1"/>
  <c r="M77" i="1" s="1"/>
  <c r="L7" i="1" s="1"/>
  <c r="I85" i="1" a="1"/>
  <c r="I85" i="1" s="1"/>
  <c r="H15" i="1" s="1"/>
  <c r="L74" i="1" a="1"/>
  <c r="L74" i="1" s="1"/>
  <c r="K4" i="1" s="1"/>
  <c r="M84" i="1" a="1"/>
  <c r="M84" i="1" s="1"/>
  <c r="L14" i="1" s="1"/>
  <c r="N83" i="1" a="1"/>
  <c r="N83" i="1" s="1"/>
  <c r="M13" i="1" s="1"/>
  <c r="J77" i="1" a="1"/>
  <c r="J77" i="1" s="1"/>
  <c r="I7" i="1" s="1"/>
  <c r="T82" i="1" a="1"/>
  <c r="T82" i="1" s="1"/>
  <c r="S12" i="1" s="1"/>
  <c r="K80" i="1" a="1"/>
  <c r="K80" i="1" s="1"/>
  <c r="J10" i="1" s="1"/>
  <c r="R74" i="1" a="1"/>
  <c r="R74" i="1" s="1"/>
  <c r="Q4" i="1" s="1"/>
  <c r="S84" i="1" a="1"/>
  <c r="S84" i="1" s="1"/>
  <c r="R14" i="1" s="1"/>
  <c r="N78" i="1" a="1"/>
  <c r="N78" i="1" s="1"/>
  <c r="M8" i="1" s="1"/>
  <c r="J74" i="1" a="1"/>
  <c r="J74" i="1" s="1"/>
  <c r="I4" i="1" s="1"/>
  <c r="L78" i="1" a="1"/>
  <c r="L78" i="1" s="1"/>
  <c r="K8" i="1" s="1"/>
  <c r="N76" i="1" a="1"/>
  <c r="N76" i="1" s="1"/>
  <c r="M6" i="1" s="1"/>
  <c r="Q80" i="1" a="1"/>
  <c r="Q80" i="1" s="1"/>
  <c r="P10" i="1" s="1"/>
  <c r="I74" i="1" a="1"/>
  <c r="I74" i="1" s="1"/>
  <c r="H4" i="1" s="1"/>
  <c r="O79" i="1" a="1"/>
  <c r="O79" i="1" s="1"/>
  <c r="N9" i="1" s="1"/>
  <c r="M74" i="1" a="1"/>
  <c r="M74" i="1" s="1"/>
  <c r="L4" i="1" s="1"/>
  <c r="J78" i="1" a="1"/>
  <c r="J78" i="1" s="1"/>
  <c r="I8" i="1" s="1"/>
  <c r="O76" i="1" a="1"/>
  <c r="O76" i="1" s="1"/>
  <c r="N6" i="1" s="1"/>
  <c r="N82" i="1" a="1"/>
  <c r="N82" i="1" s="1"/>
  <c r="M12" i="1" s="1"/>
  <c r="I75" i="1" a="1"/>
  <c r="I75" i="1" s="1"/>
  <c r="H5" i="1" s="1"/>
  <c r="S74" i="1" a="1"/>
  <c r="S74" i="1" s="1"/>
  <c r="R4" i="1" s="1"/>
  <c r="P79" i="1" a="1"/>
  <c r="P79" i="1" s="1"/>
  <c r="O9" i="1" s="1"/>
  <c r="H73" i="1" l="1" a="1"/>
  <c r="H73" i="1" s="1"/>
  <c r="G3" i="1" s="1"/>
  <c r="H79" i="1" a="1"/>
  <c r="H79" i="1" s="1"/>
  <c r="G9" i="1" s="1"/>
  <c r="H78" i="1" a="1"/>
  <c r="H78" i="1" s="1"/>
  <c r="G8" i="1" s="1"/>
  <c r="H83" i="1" a="1"/>
  <c r="H83" i="1" s="1"/>
  <c r="G13" i="1" s="1"/>
  <c r="H85" i="1" a="1"/>
  <c r="H85" i="1" s="1"/>
  <c r="G15" i="1" s="1"/>
  <c r="H77" i="1" a="1"/>
  <c r="H77" i="1" s="1"/>
  <c r="G7" i="1" s="1"/>
  <c r="H84" i="1" a="1"/>
  <c r="H84" i="1" s="1"/>
  <c r="G14" i="1" s="1"/>
  <c r="H80" i="1" a="1"/>
  <c r="H80" i="1" s="1"/>
  <c r="G10" i="1" s="1"/>
  <c r="H76" i="1" a="1"/>
  <c r="H76" i="1" s="1"/>
  <c r="G6" i="1" s="1"/>
  <c r="H82" i="1" a="1"/>
  <c r="H82" i="1" s="1"/>
  <c r="G12" i="1" s="1"/>
  <c r="H81" i="1" a="1"/>
  <c r="H81" i="1" s="1"/>
  <c r="G11" i="1" s="1"/>
  <c r="H75" i="1" a="1"/>
  <c r="H75" i="1" s="1"/>
  <c r="G5" i="1" s="1"/>
  <c r="H74" i="1" a="1"/>
  <c r="H74" i="1" s="1"/>
  <c r="G4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<sst xmlns="http://schemas.openxmlformats.org/spreadsheetml/2006/main" count="10" uniqueCount="10">
  <si>
    <t>Roll</t>
  </si>
  <si>
    <t>Hash</t>
  </si>
  <si>
    <t>d</t>
  </si>
  <si>
    <t>Texture</t>
  </si>
  <si>
    <t>dx</t>
  </si>
  <si>
    <t>dy</t>
  </si>
  <si>
    <t>sl</t>
  </si>
  <si>
    <t>* Need .net framework 3.5 to work properly</t>
  </si>
  <si>
    <t>Generated Image</t>
  </si>
  <si>
    <t>* Enable macro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</si>
</sst>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0"/>
      <color theme="1"/>
      <name val="Courier New"/>
      <family val="3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left"/>
    </xf>
    <xf numFmtId="0" fontId="1" fillId="0" borderId="0" xfId="0" applyFont="1" applyAlignment="1">
      <alignment horizontal="center"/>
    </xf>
    <xf numFmtId="0" fontId="0" fillId="6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4" fillId="0" borderId="0" xfId="0" applyFont="1" applyAlignment="1">
      <alignment horizontal="left"/>
    </xf>
    <xf numFmtId="0" fontId="5" fillId="5" borderId="1" xfId="0" applyFont="1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0" fontId="3" fillId="8" borderId="1" xfId="0" applyFont="1" applyFill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863418-D5C9-4C4A-AE3A-95258E9233B4}">
  <sheetPr codeName="Sheet1"/>
  <dimension ref="A2:AY88"/>
  <sheetViews>
    <sheetView tabSelected="1" zoomScale="115" zoomScaleNormal="115" workbookViewId="0">
      <selection activeCell="C4" sqref="C4:D4"/>
    </sheetView>
  </sheetViews>
  <sheetFormatPr defaultColWidth="6" defaultRowHeight="15" x14ac:dyDescent="0.25"/>
  <cols>
    <col min="1" max="5" width="6" style="1"/>
    <col min="6" max="6" width="3.7109375" style="1" customWidth="1"/>
    <col min="7" max="19" width="5.42578125" style="1" customWidth="1"/>
    <col min="20" max="21" width="6" style="1"/>
    <col min="22" max="23" width="0" style="1" hidden="1" customWidth="1"/>
    <col min="24" max="24" width="9" style="1" hidden="1" customWidth="1"/>
    <col min="25" max="35" width="0" style="1" hidden="1" customWidth="1"/>
    <col min="36" max="36" width="7.140625" style="1" hidden="1" customWidth="1"/>
    <col min="37" max="37" width="0" style="1" hidden="1" customWidth="1"/>
    <col min="38" max="16384" width="6" style="1"/>
  </cols>
  <sheetData>
    <row r="2" spans="1:51" x14ac:dyDescent="0.25">
      <c r="F2" s="2"/>
      <c r="G2" s="16">
        <v>0</v>
      </c>
      <c r="H2" s="16">
        <v>1</v>
      </c>
      <c r="I2" s="16">
        <v>2</v>
      </c>
      <c r="J2" s="16">
        <v>3</v>
      </c>
      <c r="K2" s="16">
        <v>4</v>
      </c>
      <c r="L2" s="16">
        <v>5</v>
      </c>
      <c r="M2" s="16">
        <v>6</v>
      </c>
      <c r="N2" s="16">
        <v>7</v>
      </c>
      <c r="O2" s="16">
        <v>8</v>
      </c>
      <c r="P2" s="16">
        <v>9</v>
      </c>
      <c r="Q2" s="16">
        <v>10</v>
      </c>
      <c r="R2" s="16">
        <v>11</v>
      </c>
      <c r="S2" s="16">
        <v>12</v>
      </c>
      <c r="W2" s="2"/>
      <c r="X2" s="2">
        <v>4</v>
      </c>
      <c r="Y2" s="2">
        <v>6</v>
      </c>
      <c r="Z2" s="2">
        <v>5</v>
      </c>
      <c r="AA2" s="2">
        <v>7</v>
      </c>
      <c r="AB2" s="2">
        <v>5</v>
      </c>
      <c r="AC2" s="2">
        <v>5</v>
      </c>
      <c r="AD2" s="2">
        <v>7</v>
      </c>
      <c r="AE2" s="2">
        <v>6</v>
      </c>
      <c r="AF2" s="2">
        <v>5</v>
      </c>
      <c r="AG2" s="2">
        <v>5</v>
      </c>
      <c r="AH2" s="2">
        <v>4</v>
      </c>
      <c r="AI2" s="2">
        <v>5</v>
      </c>
      <c r="AJ2" s="2">
        <v>5</v>
      </c>
    </row>
    <row r="3" spans="1:51" ht="18.75" x14ac:dyDescent="0.25">
      <c r="F3" s="16">
        <v>0</v>
      </c>
      <c r="G3" s="17">
        <f>VLOOKUP(H73,Sheet1!$M$40:$R$44,6,FALSE)+X4</f>
        <v>95</v>
      </c>
      <c r="H3" s="17">
        <f>VLOOKUP(I73,Sheet1!$M$40:$R$44,6,FALSE)+Y4</f>
        <v>92</v>
      </c>
      <c r="I3" s="17">
        <f>VLOOKUP(J73,Sheet1!$M$40:$R$44,6,FALSE)+Z4</f>
        <v>92</v>
      </c>
      <c r="J3" s="17">
        <f>VLOOKUP(K73,Sheet1!$M$40:$R$44,6,FALSE)+AA4</f>
        <v>94</v>
      </c>
      <c r="K3" s="17">
        <f>VLOOKUP(L73,Sheet1!$M$40:$R$44,6,FALSE)+AB4</f>
        <v>95</v>
      </c>
      <c r="L3" s="17">
        <f>VLOOKUP(M73,Sheet1!$M$40:$R$44,6,FALSE)+AC4</f>
        <v>94</v>
      </c>
      <c r="M3" s="17">
        <f>VLOOKUP(N73,Sheet1!$M$40:$R$44,6,FALSE)+AD4</f>
        <v>98</v>
      </c>
      <c r="N3" s="17">
        <f>VLOOKUP(O73,Sheet1!$M$40:$R$44,6,FALSE)+AE4</f>
        <v>91</v>
      </c>
      <c r="O3" s="17">
        <f>VLOOKUP(P73,Sheet1!$M$40:$R$44,6,FALSE)+AF4</f>
        <v>93</v>
      </c>
      <c r="P3" s="17">
        <f>VLOOKUP(Q73,Sheet1!$M$40:$R$44,6,FALSE)+AG4</f>
        <v>58</v>
      </c>
      <c r="Q3" s="17">
        <f>VLOOKUP(R73,Sheet1!$M$40:$R$44,6,FALSE)+AH4</f>
        <v>58</v>
      </c>
      <c r="R3" s="17">
        <f>VLOOKUP(S73,Sheet1!$M$40:$R$44,6,FALSE)+AI4</f>
        <v>60</v>
      </c>
      <c r="S3" s="17">
        <f>VLOOKUP(T73,Sheet1!$M$40:$R$44,6,FALSE)+AJ4</f>
        <v>57</v>
      </c>
      <c r="W3" s="2"/>
      <c r="X3" s="2">
        <v>0</v>
      </c>
      <c r="Y3" s="2">
        <v>1</v>
      </c>
      <c r="Z3" s="2">
        <v>2</v>
      </c>
      <c r="AA3" s="2">
        <v>3</v>
      </c>
      <c r="AB3" s="2">
        <v>4</v>
      </c>
      <c r="AC3" s="2">
        <v>5</v>
      </c>
      <c r="AD3" s="2">
        <v>6</v>
      </c>
      <c r="AE3" s="2">
        <v>7</v>
      </c>
      <c r="AF3" s="2">
        <v>8</v>
      </c>
      <c r="AG3" s="2">
        <v>9</v>
      </c>
      <c r="AH3" s="2">
        <v>10</v>
      </c>
      <c r="AI3" s="2">
        <v>11</v>
      </c>
      <c r="AJ3" s="2">
        <v>12</v>
      </c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</row>
    <row r="4" spans="1:51" ht="18.75" x14ac:dyDescent="0.25">
      <c r="A4" s="4"/>
      <c r="B4" s="15" t="s">
        <v>0</v>
      </c>
      <c r="C4" s="18">
        <v>123457</v>
      </c>
      <c r="D4" s="18"/>
      <c r="F4" s="16">
        <v>1</v>
      </c>
      <c r="G4" s="17">
        <f>VLOOKUP(H74,Sheet1!$M$40:$R$44,6,FALSE)+X5</f>
        <v>92</v>
      </c>
      <c r="H4" s="17">
        <f>VLOOKUP(I74,Sheet1!$M$40:$R$44,6,FALSE)+Y5</f>
        <v>96</v>
      </c>
      <c r="I4" s="17">
        <f>VLOOKUP(J74,Sheet1!$M$40:$R$44,6,FALSE)+Z5</f>
        <v>91</v>
      </c>
      <c r="J4" s="17">
        <f>VLOOKUP(K74,Sheet1!$M$40:$R$44,6,FALSE)+AA5</f>
        <v>92</v>
      </c>
      <c r="K4" s="17">
        <f>VLOOKUP(L74,Sheet1!$M$40:$R$44,6,FALSE)+AB5</f>
        <v>92</v>
      </c>
      <c r="L4" s="17">
        <f>VLOOKUP(M74,Sheet1!$M$40:$R$44,6,FALSE)+AC5</f>
        <v>93</v>
      </c>
      <c r="M4" s="17">
        <f>VLOOKUP(N74,Sheet1!$M$40:$R$44,6,FALSE)+AD5</f>
        <v>93</v>
      </c>
      <c r="N4" s="17">
        <f>VLOOKUP(O74,Sheet1!$M$40:$R$44,6,FALSE)+AE5</f>
        <v>94</v>
      </c>
      <c r="O4" s="17">
        <f>VLOOKUP(P74,Sheet1!$M$40:$R$44,6,FALSE)+AF5</f>
        <v>94</v>
      </c>
      <c r="P4" s="17">
        <f>VLOOKUP(Q74,Sheet1!$M$40:$R$44,6,FALSE)+AG5</f>
        <v>56</v>
      </c>
      <c r="Q4" s="17">
        <f>VLOOKUP(R74,Sheet1!$M$40:$R$44,6,FALSE)+AH5</f>
        <v>58</v>
      </c>
      <c r="R4" s="17">
        <f>VLOOKUP(S74,Sheet1!$M$40:$R$44,6,FALSE)+AI5</f>
        <v>61</v>
      </c>
      <c r="S4" s="17">
        <f>VLOOKUP(T74,Sheet1!$M$40:$R$44,6,FALSE)+AJ5</f>
        <v>61</v>
      </c>
      <c r="W4" s="2">
        <v>0</v>
      </c>
      <c r="X4" s="3">
        <f>MOD(ROUNDDOWN(Sheet1!M24*M22/3,0),X$2)+AE22</f>
        <v>4</v>
      </c>
      <c r="Y4" s="3">
        <f>MOD(ROUNDDOWN(Sheet1!N24-N22/5,0),Y$2)+AF22</f>
        <v>1</v>
      </c>
      <c r="Z4" s="3">
        <f>MOD(ROUNDDOWN(Sheet1!O24+O23/3,0),Z$2)+AG22</f>
        <v>1</v>
      </c>
      <c r="AA4" s="3">
        <f>MOD(ROUNDDOWN(Sheet1!P24^(MOD(P23,4)+1),0),AA$2)+AH22</f>
        <v>3</v>
      </c>
      <c r="AB4" s="3">
        <f>MOD(ROUNDDOWN(Sheet1!Q24^(MOD(Q22,4)+1),0),AB$2)+AJ22</f>
        <v>4</v>
      </c>
      <c r="AC4" s="3">
        <f>MOD(ROUNDDOWN(Sheet1!R24*R23/9,0),AC$2)</f>
        <v>3</v>
      </c>
      <c r="AD4" s="3">
        <f>MOD(ROUNDDOWN(Sheet1!S24*S22,0),AD$2)+AK22</f>
        <v>7</v>
      </c>
      <c r="AE4" s="3">
        <f>MOD(ROUNDDOWN(Sheet1!T24+T22,0),AE$2)+AL22</f>
        <v>0</v>
      </c>
      <c r="AF4" s="3">
        <f>MOD(ROUNDDOWN(Sheet1!U24*U23/3,0),AF$2)+AM22</f>
        <v>2</v>
      </c>
      <c r="AG4" s="3">
        <f>MOD(ROUNDDOWN(Sheet1!V24*V23/9,0),AG$2)+AN22</f>
        <v>2</v>
      </c>
      <c r="AH4" s="3">
        <f>MOD(ROUNDDOWN(Sheet1!W24+W23,0),AH$2)+AO22</f>
        <v>2</v>
      </c>
      <c r="AI4" s="3">
        <f>MOD(ROUNDDOWN(Sheet1!X24*X22/9,0),AI$2)+AP22</f>
        <v>4</v>
      </c>
      <c r="AJ4" s="3">
        <f>MOD(ROUNDDOWN(Sheet1!Y24*Y23/4,0),AJ$2)+AQ22</f>
        <v>1</v>
      </c>
      <c r="AL4" s="2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</row>
    <row r="5" spans="1:51" ht="18.75" x14ac:dyDescent="0.25">
      <c r="F5" s="16">
        <v>2</v>
      </c>
      <c r="G5" s="17">
        <f>VLOOKUP(H75,Sheet1!$M$40:$R$44,6,FALSE)+X6</f>
        <v>93</v>
      </c>
      <c r="H5" s="17">
        <f>VLOOKUP(I75,Sheet1!$M$40:$R$44,6,FALSE)+Y6</f>
        <v>94</v>
      </c>
      <c r="I5" s="17">
        <f>VLOOKUP(J75,Sheet1!$M$40:$R$44,6,FALSE)+Z6</f>
        <v>93</v>
      </c>
      <c r="J5" s="17">
        <f>VLOOKUP(K75,Sheet1!$M$40:$R$44,6,FALSE)+AA6</f>
        <v>98</v>
      </c>
      <c r="K5" s="17">
        <f>VLOOKUP(L75,Sheet1!$M$40:$R$44,6,FALSE)+AB6</f>
        <v>91</v>
      </c>
      <c r="L5" s="17">
        <f>VLOOKUP(M75,Sheet1!$M$40:$R$44,6,FALSE)+AC6</f>
        <v>95</v>
      </c>
      <c r="M5" s="17">
        <f>VLOOKUP(N75,Sheet1!$M$40:$R$44,6,FALSE)+AD6</f>
        <v>92</v>
      </c>
      <c r="N5" s="17">
        <f>VLOOKUP(O75,Sheet1!$M$40:$R$44,6,FALSE)+AE6</f>
        <v>91</v>
      </c>
      <c r="O5" s="17">
        <f>VLOOKUP(P75,Sheet1!$M$40:$R$44,6,FALSE)+AF6</f>
        <v>94</v>
      </c>
      <c r="P5" s="17">
        <f>VLOOKUP(Q75,Sheet1!$M$40:$R$44,6,FALSE)+AG6</f>
        <v>57</v>
      </c>
      <c r="Q5" s="17">
        <f>VLOOKUP(R75,Sheet1!$M$40:$R$44,6,FALSE)+AH6</f>
        <v>59</v>
      </c>
      <c r="R5" s="17">
        <f>VLOOKUP(S75,Sheet1!$M$40:$R$44,6,FALSE)+AI6</f>
        <v>59</v>
      </c>
      <c r="S5" s="17">
        <f>VLOOKUP(T75,Sheet1!$M$40:$R$44,6,FALSE)+AJ6</f>
        <v>60</v>
      </c>
      <c r="W5" s="2">
        <v>1</v>
      </c>
      <c r="X5" s="3">
        <f>MOD(ROUNDDOWN(Sheet1!M25*M23/3,0),X$2)+AE23</f>
        <v>1</v>
      </c>
      <c r="Y5" s="3">
        <f>MOD(ROUNDDOWN(Sheet1!N25-N23/5,0),Y$2)+AF23</f>
        <v>5</v>
      </c>
      <c r="Z5" s="3">
        <f>MOD(ROUNDDOWN(Sheet1!O25+O24/3,0),Z$2)+AG23</f>
        <v>0</v>
      </c>
      <c r="AA5" s="3">
        <f>MOD(ROUNDDOWN(Sheet1!P25^(MOD(P24,4)+1),0),AA$2)+AH23</f>
        <v>1</v>
      </c>
      <c r="AB5" s="3">
        <f>MOD(ROUNDDOWN(Sheet1!Q25^(MOD(Q24,4)+1),0),AB$2)</f>
        <v>1</v>
      </c>
      <c r="AC5" s="3">
        <f>MOD(ROUNDDOWN(Sheet1!R25*R24/9,0),AC$2)</f>
        <v>2</v>
      </c>
      <c r="AD5" s="3">
        <f>MOD(ROUNDDOWN(Sheet1!S25*S23,0),AD$2)+AK23</f>
        <v>2</v>
      </c>
      <c r="AE5" s="3">
        <f>MOD(ROUNDDOWN(Sheet1!T25+T23,0),AE$2)+AL23</f>
        <v>3</v>
      </c>
      <c r="AF5" s="3">
        <f>MOD(ROUNDDOWN(Sheet1!U25*U24/3,0),AF$2)+AM23</f>
        <v>3</v>
      </c>
      <c r="AG5" s="3">
        <f>MOD(ROUNDDOWN(Sheet1!V25*V24/9,0),AG$2)+AN23</f>
        <v>0</v>
      </c>
      <c r="AH5" s="3">
        <f>MOD(ROUNDDOWN(Sheet1!W25+W24,0),AH$2)+AO23</f>
        <v>2</v>
      </c>
      <c r="AI5" s="3">
        <f>MOD(ROUNDDOWN(Sheet1!X25*X23/9,0),AI$2)+AP23</f>
        <v>5</v>
      </c>
      <c r="AJ5" s="3">
        <f>MOD(ROUNDDOWN(Sheet1!Y25*Y24/4,0),AJ$2)+AQ23</f>
        <v>5</v>
      </c>
      <c r="AL5" s="2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</row>
    <row r="6" spans="1:51" ht="18.75" x14ac:dyDescent="0.25">
      <c r="F6" s="16">
        <v>3</v>
      </c>
      <c r="G6" s="17">
        <f>VLOOKUP(H76,Sheet1!$M$40:$R$44,6,FALSE)+X7</f>
        <v>93</v>
      </c>
      <c r="H6" s="17">
        <f>VLOOKUP(I76,Sheet1!$M$40:$R$44,6,FALSE)+Y7</f>
        <v>96</v>
      </c>
      <c r="I6" s="17">
        <f>VLOOKUP(J76,Sheet1!$M$40:$R$44,6,FALSE)+Z7</f>
        <v>96</v>
      </c>
      <c r="J6" s="17">
        <f>VLOOKUP(K76,Sheet1!$M$40:$R$44,6,FALSE)+AA7</f>
        <v>93</v>
      </c>
      <c r="K6" s="17">
        <f>VLOOKUP(L76,Sheet1!$M$40:$R$44,6,FALSE)+AB7</f>
        <v>91</v>
      </c>
      <c r="L6" s="17">
        <f>VLOOKUP(M76,Sheet1!$M$40:$R$44,6,FALSE)+AC7</f>
        <v>92</v>
      </c>
      <c r="M6" s="17">
        <f>VLOOKUP(N76,Sheet1!$M$40:$R$44,6,FALSE)+AD7</f>
        <v>96</v>
      </c>
      <c r="N6" s="17">
        <f>VLOOKUP(O76,Sheet1!$M$40:$R$44,6,FALSE)+AE7</f>
        <v>95</v>
      </c>
      <c r="O6" s="17">
        <f>VLOOKUP(P76,Sheet1!$M$40:$R$44,6,FALSE)+AF7</f>
        <v>247</v>
      </c>
      <c r="P6" s="17">
        <f>VLOOKUP(Q76,Sheet1!$M$40:$R$44,6,FALSE)+AG7</f>
        <v>59</v>
      </c>
      <c r="Q6" s="17">
        <f>VLOOKUP(R76,Sheet1!$M$40:$R$44,6,FALSE)+AH7</f>
        <v>58</v>
      </c>
      <c r="R6" s="17">
        <f>VLOOKUP(S76,Sheet1!$M$40:$R$44,6,FALSE)+AI7</f>
        <v>58</v>
      </c>
      <c r="S6" s="17">
        <f>VLOOKUP(T76,Sheet1!$M$40:$R$44,6,FALSE)+AJ7</f>
        <v>57</v>
      </c>
      <c r="W6" s="2">
        <v>2</v>
      </c>
      <c r="X6" s="3">
        <f>MOD(ROUNDDOWN(Sheet1!M26*M24/3,0),X$2)+AE24</f>
        <v>2</v>
      </c>
      <c r="Y6" s="3">
        <f>MOD(ROUNDDOWN(Sheet1!N26-N24/5,0),Y$2)+AF24</f>
        <v>3</v>
      </c>
      <c r="Z6" s="3">
        <f>MOD(ROUNDDOWN(Sheet1!O26+O25/3,0),Z$2)+AG24</f>
        <v>2</v>
      </c>
      <c r="AA6" s="3">
        <f>MOD(ROUNDDOWN(Sheet1!P26^(MOD(P25,4)+1),0),AA$2)+AH24</f>
        <v>7</v>
      </c>
      <c r="AB6" s="3">
        <f>MOD(ROUNDDOWN(Sheet1!Q26^(MOD(Q25,4)+1),0),AB$2)</f>
        <v>0</v>
      </c>
      <c r="AC6" s="3">
        <f>MOD(ROUNDDOWN(Sheet1!R26*R25/9,0),AC$2)</f>
        <v>4</v>
      </c>
      <c r="AD6" s="3">
        <f>MOD(ROUNDDOWN(Sheet1!S26*S24,0),AD$2)+AK24</f>
        <v>1</v>
      </c>
      <c r="AE6" s="3">
        <f>MOD(ROUNDDOWN(Sheet1!T26+T24,0),AE$2)+AL24</f>
        <v>0</v>
      </c>
      <c r="AF6" s="3">
        <f>MOD(ROUNDDOWN(Sheet1!U26*U25/3,0),AF$2)+AM24</f>
        <v>3</v>
      </c>
      <c r="AG6" s="3">
        <f>MOD(ROUNDDOWN(Sheet1!V26*V25/9,0),AG$2)+AN24</f>
        <v>1</v>
      </c>
      <c r="AH6" s="3">
        <f>MOD(ROUNDDOWN(Sheet1!W26+W25,0),AH$2)+AO24</f>
        <v>3</v>
      </c>
      <c r="AI6" s="3">
        <f>MOD(ROUNDDOWN(Sheet1!X26*X24/9,0),AI$2)+AP24</f>
        <v>3</v>
      </c>
      <c r="AJ6" s="3">
        <f>MOD(ROUNDDOWN(Sheet1!Y26*Y25/4,0),AJ$2)+AQ24</f>
        <v>4</v>
      </c>
      <c r="AL6" s="2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</row>
    <row r="7" spans="1:51" ht="18.75" x14ac:dyDescent="0.25">
      <c r="F7" s="16">
        <v>4</v>
      </c>
      <c r="G7" s="17">
        <f>VLOOKUP(H77,Sheet1!$M$40:$R$44,6,FALSE)+X8</f>
        <v>94</v>
      </c>
      <c r="H7" s="17">
        <f>VLOOKUP(I77,Sheet1!$M$40:$R$44,6,FALSE)+Y8</f>
        <v>96</v>
      </c>
      <c r="I7" s="17">
        <f>VLOOKUP(J77,Sheet1!$M$40:$R$44,6,FALSE)+Z8</f>
        <v>94</v>
      </c>
      <c r="J7" s="17">
        <f>VLOOKUP(K77,Sheet1!$M$40:$R$44,6,FALSE)+AA8</f>
        <v>98</v>
      </c>
      <c r="K7" s="17">
        <f>VLOOKUP(L77,Sheet1!$M$40:$R$44,6,FALSE)+AB8</f>
        <v>95</v>
      </c>
      <c r="L7" s="17">
        <f>VLOOKUP(M77,Sheet1!$M$40:$R$44,6,FALSE)+AC8</f>
        <v>95</v>
      </c>
      <c r="M7" s="17">
        <f>VLOOKUP(N77,Sheet1!$M$40:$R$44,6,FALSE)+AD8</f>
        <v>92</v>
      </c>
      <c r="N7" s="17">
        <f>VLOOKUP(O77,Sheet1!$M$40:$R$44,6,FALSE)+AE8</f>
        <v>248</v>
      </c>
      <c r="O7" s="17">
        <f>VLOOKUP(P77,Sheet1!$M$40:$R$44,6,FALSE)+AF8</f>
        <v>247</v>
      </c>
      <c r="P7" s="17">
        <f>VLOOKUP(Q77,Sheet1!$M$40:$R$44,6,FALSE)+AG8</f>
        <v>247</v>
      </c>
      <c r="Q7" s="17">
        <f>VLOOKUP(R77,Sheet1!$M$40:$R$44,6,FALSE)+AH8</f>
        <v>58</v>
      </c>
      <c r="R7" s="17">
        <f>VLOOKUP(S77,Sheet1!$M$40:$R$44,6,FALSE)+AI8</f>
        <v>59</v>
      </c>
      <c r="S7" s="17">
        <f>VLOOKUP(T77,Sheet1!$M$40:$R$44,6,FALSE)+AJ8</f>
        <v>57</v>
      </c>
      <c r="W7" s="2">
        <v>3</v>
      </c>
      <c r="X7" s="3">
        <f>MOD(ROUNDDOWN(Sheet1!M27*M25/3,0),X$2)+AE25</f>
        <v>2</v>
      </c>
      <c r="Y7" s="3">
        <f>MOD(ROUNDDOWN(Sheet1!N27-N25/5,0),Y$2)+AF25</f>
        <v>5</v>
      </c>
      <c r="Z7" s="3">
        <f>MOD(ROUNDDOWN(Sheet1!O27+O26/3,0),Z$2)+AG25</f>
        <v>5</v>
      </c>
      <c r="AA7" s="3">
        <f>MOD(ROUNDDOWN(Sheet1!P27^(MOD(P26,4)+1),0),AA$2)+AH25</f>
        <v>2</v>
      </c>
      <c r="AB7" s="3">
        <f>MOD(ROUNDDOWN(Sheet1!Q27^(MOD(Q26,4)+1),0),AB$2)</f>
        <v>0</v>
      </c>
      <c r="AC7" s="3">
        <f>MOD(ROUNDDOWN(Sheet1!R27*R26/9,0),AC$2)</f>
        <v>1</v>
      </c>
      <c r="AD7" s="3">
        <f>MOD(ROUNDDOWN(Sheet1!S27*S25,0),AD$2)+AK25</f>
        <v>5</v>
      </c>
      <c r="AE7" s="3">
        <f>MOD(ROUNDDOWN(Sheet1!T27+T25,0),AE$2)+AL25</f>
        <v>4</v>
      </c>
      <c r="AF7" s="3">
        <f>MOD(ROUNDDOWN(Sheet1!U27*U26/3,0),AF$2)+AM25</f>
        <v>1</v>
      </c>
      <c r="AG7" s="3">
        <f>MOD(ROUNDDOWN(Sheet1!V27*V26/9,0),AG$2)+AN25</f>
        <v>3</v>
      </c>
      <c r="AH7" s="3">
        <f>MOD(ROUNDDOWN(Sheet1!W27+W26,0),AH$2)+AO25</f>
        <v>2</v>
      </c>
      <c r="AI7" s="3">
        <f>MOD(ROUNDDOWN(Sheet1!X27*X25/9,0),AI$2)+AP25</f>
        <v>2</v>
      </c>
      <c r="AJ7" s="3">
        <f>MOD(ROUNDDOWN(Sheet1!Y27*Y26/4,0),AJ$2)+AQ25</f>
        <v>1</v>
      </c>
      <c r="AL7" s="2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</row>
    <row r="8" spans="1:51" ht="18.75" x14ac:dyDescent="0.25">
      <c r="F8" s="16">
        <v>5</v>
      </c>
      <c r="G8" s="17">
        <f>VLOOKUP(H78,Sheet1!$M$40:$R$44,6,FALSE)+X9</f>
        <v>91</v>
      </c>
      <c r="H8" s="17">
        <f>VLOOKUP(I78,Sheet1!$M$40:$R$44,6,FALSE)+Y9</f>
        <v>94</v>
      </c>
      <c r="I8" s="17">
        <f>VLOOKUP(J78,Sheet1!$M$40:$R$44,6,FALSE)+Z9</f>
        <v>94</v>
      </c>
      <c r="J8" s="17">
        <f>VLOOKUP(K78,Sheet1!$M$40:$R$44,6,FALSE)+AA9</f>
        <v>92</v>
      </c>
      <c r="K8" s="17">
        <f>VLOOKUP(L78,Sheet1!$M$40:$R$44,6,FALSE)+AB9</f>
        <v>91</v>
      </c>
      <c r="L8" s="17">
        <f>VLOOKUP(M78,Sheet1!$M$40:$R$44,6,FALSE)+AC9</f>
        <v>93</v>
      </c>
      <c r="M8" s="17">
        <f>VLOOKUP(N78,Sheet1!$M$40:$R$44,6,FALSE)+AD9</f>
        <v>247</v>
      </c>
      <c r="N8" s="17">
        <f>VLOOKUP(O78,Sheet1!$M$40:$R$44,6,FALSE)+AE9</f>
        <v>250</v>
      </c>
      <c r="O8" s="17">
        <f>VLOOKUP(P78,Sheet1!$M$40:$R$44,6,FALSE)+AF9</f>
        <v>246</v>
      </c>
      <c r="P8" s="17">
        <f>VLOOKUP(Q78,Sheet1!$M$40:$R$44,6,FALSE)+AG9</f>
        <v>249</v>
      </c>
      <c r="Q8" s="17">
        <f>VLOOKUP(R78,Sheet1!$M$40:$R$44,6,FALSE)+AH9</f>
        <v>247</v>
      </c>
      <c r="R8" s="17">
        <f>VLOOKUP(S78,Sheet1!$M$40:$R$44,6,FALSE)+AI9</f>
        <v>247</v>
      </c>
      <c r="S8" s="17">
        <f>VLOOKUP(T78,Sheet1!$M$40:$R$44,6,FALSE)+AJ9</f>
        <v>56</v>
      </c>
      <c r="W8" s="2">
        <v>4</v>
      </c>
      <c r="X8" s="3">
        <f>MOD(ROUNDDOWN(Sheet1!M28*M26/3,0),X$2)+AE26</f>
        <v>3</v>
      </c>
      <c r="Y8" s="3">
        <f>MOD(ROUNDDOWN(Sheet1!N28-N26/5,0),Y$2)+AF26</f>
        <v>5</v>
      </c>
      <c r="Z8" s="3">
        <f>MOD(ROUNDDOWN(Sheet1!O28+O27/3,0),Z$2)+AG26</f>
        <v>3</v>
      </c>
      <c r="AA8" s="3">
        <f>MOD(ROUNDDOWN(Sheet1!P28^(MOD(P27,4)+1),0),AA$2)+AH26</f>
        <v>7</v>
      </c>
      <c r="AB8" s="3">
        <f>MOD(ROUNDDOWN(Sheet1!Q28^(MOD(Q27,4)+1),0),AB$2)</f>
        <v>4</v>
      </c>
      <c r="AC8" s="3">
        <f>MOD(ROUNDDOWN(Sheet1!R28*R27/9,0),AC$2)</f>
        <v>4</v>
      </c>
      <c r="AD8" s="3">
        <f>MOD(ROUNDDOWN(Sheet1!S28*S26,0),AD$2)+AK26</f>
        <v>1</v>
      </c>
      <c r="AE8" s="3">
        <f>MOD(ROUNDDOWN(Sheet1!T28+T26,0),AE$2)+AL26</f>
        <v>2</v>
      </c>
      <c r="AF8" s="3">
        <f>MOD(ROUNDDOWN(Sheet1!U28*U27/3,0),AF$2)+AM26</f>
        <v>1</v>
      </c>
      <c r="AG8" s="3">
        <f>MOD(ROUNDDOWN(Sheet1!V28*V27/9,0),AG$2)+AN26</f>
        <v>1</v>
      </c>
      <c r="AH8" s="3">
        <f>MOD(ROUNDDOWN(Sheet1!W28+W27,0),AH$2)+AO26</f>
        <v>2</v>
      </c>
      <c r="AI8" s="3">
        <f>MOD(ROUNDDOWN(Sheet1!X28*X26/9,0),AI$2)+AP26</f>
        <v>3</v>
      </c>
      <c r="AJ8" s="3">
        <f>MOD(ROUNDDOWN(Sheet1!Y28*Y27/4,0),AJ$2)+AQ26</f>
        <v>1</v>
      </c>
      <c r="AL8" s="2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</row>
    <row r="9" spans="1:51" ht="18.75" x14ac:dyDescent="0.25">
      <c r="F9" s="16">
        <v>6</v>
      </c>
      <c r="G9" s="17">
        <f>VLOOKUP(H79,Sheet1!$M$40:$R$44,6,FALSE)+X10</f>
        <v>22</v>
      </c>
      <c r="H9" s="17">
        <f>VLOOKUP(I79,Sheet1!$M$40:$R$44,6,FALSE)+Y10</f>
        <v>25</v>
      </c>
      <c r="I9" s="17">
        <f>VLOOKUP(J79,Sheet1!$M$40:$R$44,6,FALSE)+Z10</f>
        <v>22</v>
      </c>
      <c r="J9" s="17">
        <f>VLOOKUP(K79,Sheet1!$M$40:$R$44,6,FALSE)+AA10</f>
        <v>22</v>
      </c>
      <c r="K9" s="17">
        <f>VLOOKUP(L79,Sheet1!$M$40:$R$44,6,FALSE)+AB10</f>
        <v>21</v>
      </c>
      <c r="L9" s="17">
        <f>VLOOKUP(M79,Sheet1!$M$40:$R$44,6,FALSE)+AC10</f>
        <v>23</v>
      </c>
      <c r="M9" s="17">
        <f>VLOOKUP(N79,Sheet1!$M$40:$R$44,6,FALSE)+AD10</f>
        <v>246</v>
      </c>
      <c r="N9" s="17">
        <f>VLOOKUP(O79,Sheet1!$M$40:$R$44,6,FALSE)+AE10</f>
        <v>248</v>
      </c>
      <c r="O9" s="17">
        <f>VLOOKUP(P79,Sheet1!$M$40:$R$44,6,FALSE)+AF10</f>
        <v>247</v>
      </c>
      <c r="P9" s="17">
        <f>VLOOKUP(Q79,Sheet1!$M$40:$R$44,6,FALSE)+AG10</f>
        <v>247</v>
      </c>
      <c r="Q9" s="17">
        <f>VLOOKUP(R79,Sheet1!$M$40:$R$44,6,FALSE)+AH10</f>
        <v>249</v>
      </c>
      <c r="R9" s="17">
        <f>VLOOKUP(S79,Sheet1!$M$40:$R$44,6,FALSE)+AI10</f>
        <v>248</v>
      </c>
      <c r="S9" s="17">
        <f>VLOOKUP(T79,Sheet1!$M$40:$R$44,6,FALSE)+AJ10</f>
        <v>57</v>
      </c>
      <c r="W9" s="2">
        <v>5</v>
      </c>
      <c r="X9" s="3">
        <f>MOD(ROUNDDOWN(Sheet1!M29*M27/3,0),X$2)+AE27</f>
        <v>0</v>
      </c>
      <c r="Y9" s="3">
        <f>MOD(ROUNDDOWN(Sheet1!N29-N27/5,0),Y$2)+AF27</f>
        <v>3</v>
      </c>
      <c r="Z9" s="3">
        <f>MOD(ROUNDDOWN(Sheet1!O29+O28/3,0),Z$2)+AG27</f>
        <v>3</v>
      </c>
      <c r="AA9" s="3">
        <f>MOD(ROUNDDOWN(Sheet1!P29^(MOD(P28,4)+1),0),AA$2)+AH27</f>
        <v>1</v>
      </c>
      <c r="AB9" s="3">
        <f>MOD(ROUNDDOWN(Sheet1!Q29^(MOD(Q28,4)+1),0),AB$2)</f>
        <v>0</v>
      </c>
      <c r="AC9" s="3">
        <f>MOD(ROUNDDOWN(Sheet1!R29*R28/9,0),AC$2)</f>
        <v>2</v>
      </c>
      <c r="AD9" s="3">
        <f>MOD(ROUNDDOWN(Sheet1!S29*S27,0),AD$2)+AK27</f>
        <v>1</v>
      </c>
      <c r="AE9" s="3">
        <f>MOD(ROUNDDOWN(Sheet1!T29+T27,0),AE$2)+AL27</f>
        <v>4</v>
      </c>
      <c r="AF9" s="3">
        <f>MOD(ROUNDDOWN(Sheet1!U29*U28/3,0),AF$2)+AM27</f>
        <v>0</v>
      </c>
      <c r="AG9" s="3">
        <f>MOD(ROUNDDOWN(Sheet1!V29*V28/9,0),AG$2)+AN27</f>
        <v>3</v>
      </c>
      <c r="AH9" s="3">
        <f>MOD(ROUNDDOWN(Sheet1!W29+W28,0),AH$2)+AO27</f>
        <v>1</v>
      </c>
      <c r="AI9" s="3">
        <f>MOD(ROUNDDOWN(Sheet1!X29*X27/9,0),AI$2)+AP27</f>
        <v>1</v>
      </c>
      <c r="AJ9" s="3">
        <f>MOD(ROUNDDOWN(Sheet1!Y29*Y28/4,0),AJ$2)+AQ27</f>
        <v>0</v>
      </c>
      <c r="AL9" s="2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</row>
    <row r="10" spans="1:51" ht="18.75" x14ac:dyDescent="0.25">
      <c r="F10" s="16">
        <v>7</v>
      </c>
      <c r="G10" s="17">
        <f>VLOOKUP(H80,Sheet1!$M$40:$R$44,6,FALSE)+X11</f>
        <v>22</v>
      </c>
      <c r="H10" s="17">
        <f>VLOOKUP(I80,Sheet1!$M$40:$R$44,6,FALSE)+Y11</f>
        <v>24</v>
      </c>
      <c r="I10" s="17">
        <f>VLOOKUP(J80,Sheet1!$M$40:$R$44,6,FALSE)+Z11</f>
        <v>21</v>
      </c>
      <c r="J10" s="17">
        <f>VLOOKUP(K80,Sheet1!$M$40:$R$44,6,FALSE)+AA11</f>
        <v>27</v>
      </c>
      <c r="K10" s="17">
        <f>VLOOKUP(L80,Sheet1!$M$40:$R$44,6,FALSE)+AB11</f>
        <v>24</v>
      </c>
      <c r="L10" s="17">
        <f>VLOOKUP(M80,Sheet1!$M$40:$R$44,6,FALSE)+AC11</f>
        <v>21</v>
      </c>
      <c r="M10" s="17">
        <f>VLOOKUP(N80,Sheet1!$M$40:$R$44,6,FALSE)+AD11</f>
        <v>247</v>
      </c>
      <c r="N10" s="17">
        <f>VLOOKUP(O80,Sheet1!$M$40:$R$44,6,FALSE)+AE11</f>
        <v>248</v>
      </c>
      <c r="O10" s="17">
        <f>VLOOKUP(P80,Sheet1!$M$40:$R$44,6,FALSE)+AF11</f>
        <v>249</v>
      </c>
      <c r="P10" s="17">
        <f>VLOOKUP(Q80,Sheet1!$M$40:$R$44,6,FALSE)+AG11</f>
        <v>246</v>
      </c>
      <c r="Q10" s="17">
        <f>VLOOKUP(R80,Sheet1!$M$40:$R$44,6,FALSE)+AH11</f>
        <v>249</v>
      </c>
      <c r="R10" s="17">
        <f>VLOOKUP(S80,Sheet1!$M$40:$R$44,6,FALSE)+AI11</f>
        <v>249</v>
      </c>
      <c r="S10" s="17">
        <f>VLOOKUP(T80,Sheet1!$M$40:$R$44,6,FALSE)+AJ11</f>
        <v>59</v>
      </c>
      <c r="W10" s="2">
        <v>6</v>
      </c>
      <c r="X10" s="3">
        <f>MOD(ROUNDDOWN(Sheet1!M30*M28/3,0),X$2)+AE28</f>
        <v>2</v>
      </c>
      <c r="Y10" s="3">
        <f>MOD(ROUNDDOWN(Sheet1!N30-N28/5,0),Y$2)+AF28</f>
        <v>5</v>
      </c>
      <c r="Z10" s="3">
        <f>MOD(ROUNDDOWN(Sheet1!O30+O29/3,0),Z$2)+AG28</f>
        <v>2</v>
      </c>
      <c r="AA10" s="3">
        <f>MOD(ROUNDDOWN(Sheet1!P30^(MOD(P29,4)+1),0),AA$2)+AH28</f>
        <v>2</v>
      </c>
      <c r="AB10" s="3">
        <f>MOD(ROUNDDOWN(Sheet1!Q30^(MOD(Q29,4)+1),0),AB$2)</f>
        <v>1</v>
      </c>
      <c r="AC10" s="3">
        <f>MOD(ROUNDDOWN(Sheet1!R30*R29/9,0),AC$2)</f>
        <v>3</v>
      </c>
      <c r="AD10" s="3">
        <f>MOD(ROUNDDOWN(Sheet1!S30*S28,0),AD$2)+AK28</f>
        <v>0</v>
      </c>
      <c r="AE10" s="3">
        <f>MOD(ROUNDDOWN(Sheet1!T30+T28,0),AE$2)+AL28</f>
        <v>2</v>
      </c>
      <c r="AF10" s="3">
        <f>MOD(ROUNDDOWN(Sheet1!U30*U29/3,0),AF$2)+AM28</f>
        <v>1</v>
      </c>
      <c r="AG10" s="3">
        <f>MOD(ROUNDDOWN(Sheet1!V30*V29/9,0),AG$2)+AN28</f>
        <v>1</v>
      </c>
      <c r="AH10" s="3">
        <f>MOD(ROUNDDOWN(Sheet1!W30+W29,0),AH$2)+AO28</f>
        <v>3</v>
      </c>
      <c r="AI10" s="3">
        <f>MOD(ROUNDDOWN(Sheet1!X30*X28/9,0),AI$2)+AP28</f>
        <v>2</v>
      </c>
      <c r="AJ10" s="3">
        <f>MOD(ROUNDDOWN(Sheet1!Y30*Y29/4,0),AJ$2)+AQ28</f>
        <v>1</v>
      </c>
      <c r="AL10" s="2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</row>
    <row r="11" spans="1:51" ht="18.75" x14ac:dyDescent="0.25">
      <c r="F11" s="16">
        <v>8</v>
      </c>
      <c r="G11" s="17">
        <f>VLOOKUP(H81,Sheet1!$M$40:$R$44,6,FALSE)+X12</f>
        <v>22</v>
      </c>
      <c r="H11" s="17">
        <f>VLOOKUP(I81,Sheet1!$M$40:$R$44,6,FALSE)+Y12</f>
        <v>23</v>
      </c>
      <c r="I11" s="17">
        <f>VLOOKUP(J81,Sheet1!$M$40:$R$44,6,FALSE)+Z12</f>
        <v>22</v>
      </c>
      <c r="J11" s="17">
        <f>VLOOKUP(K81,Sheet1!$M$40:$R$44,6,FALSE)+AA12</f>
        <v>22</v>
      </c>
      <c r="K11" s="17">
        <f>VLOOKUP(L81,Sheet1!$M$40:$R$44,6,FALSE)+AB12</f>
        <v>22</v>
      </c>
      <c r="L11" s="17">
        <f>VLOOKUP(M81,Sheet1!$M$40:$R$44,6,FALSE)+AC12</f>
        <v>24</v>
      </c>
      <c r="M11" s="17">
        <f>VLOOKUP(N81,Sheet1!$M$40:$R$44,6,FALSE)+AD12</f>
        <v>246</v>
      </c>
      <c r="N11" s="17">
        <f>VLOOKUP(O81,Sheet1!$M$40:$R$44,6,FALSE)+AE12</f>
        <v>248</v>
      </c>
      <c r="O11" s="17">
        <f>VLOOKUP(P81,Sheet1!$M$40:$R$44,6,FALSE)+AF12</f>
        <v>249</v>
      </c>
      <c r="P11" s="17">
        <f>VLOOKUP(Q81,Sheet1!$M$40:$R$44,6,FALSE)+AG12</f>
        <v>247</v>
      </c>
      <c r="Q11" s="17">
        <f>VLOOKUP(R81,Sheet1!$M$40:$R$44,6,FALSE)+AH12</f>
        <v>247</v>
      </c>
      <c r="R11" s="17">
        <f>VLOOKUP(S81,Sheet1!$M$40:$R$44,6,FALSE)+AI12</f>
        <v>248</v>
      </c>
      <c r="S11" s="17">
        <f>VLOOKUP(T81,Sheet1!$M$40:$R$44,6,FALSE)+AJ12</f>
        <v>56</v>
      </c>
      <c r="W11" s="2">
        <v>7</v>
      </c>
      <c r="X11" s="3">
        <f>MOD(ROUNDDOWN(Sheet1!M31*M29/3,0),X$2)+AE29</f>
        <v>2</v>
      </c>
      <c r="Y11" s="3">
        <f>MOD(ROUNDDOWN(Sheet1!N31-N29/5,0),Y$2)+AF29</f>
        <v>4</v>
      </c>
      <c r="Z11" s="3">
        <f>MOD(ROUNDDOWN(Sheet1!O31+O30/3,0),Z$2)+AG29</f>
        <v>1</v>
      </c>
      <c r="AA11" s="3">
        <f>MOD(ROUNDDOWN(Sheet1!P31^(MOD(P30,4)+1),0),AA$2)+AH29</f>
        <v>7</v>
      </c>
      <c r="AB11" s="3">
        <f>MOD(ROUNDDOWN(Sheet1!Q31^(MOD(Q30,4)+1),0),AB$2)</f>
        <v>4</v>
      </c>
      <c r="AC11" s="3">
        <f>MOD(ROUNDDOWN(Sheet1!R31*R30/9,0),AC$2)</f>
        <v>1</v>
      </c>
      <c r="AD11" s="3">
        <f>MOD(ROUNDDOWN(Sheet1!S31*S29,0),AD$2)+AK29</f>
        <v>1</v>
      </c>
      <c r="AE11" s="3">
        <f>MOD(ROUNDDOWN(Sheet1!T31+T29,0),AE$2)+AL29</f>
        <v>2</v>
      </c>
      <c r="AF11" s="3">
        <f>MOD(ROUNDDOWN(Sheet1!U31*U30/3,0),AF$2)+AM29</f>
        <v>3</v>
      </c>
      <c r="AG11" s="3">
        <f>MOD(ROUNDDOWN(Sheet1!V31*V30/9,0),AG$2)+AN29</f>
        <v>0</v>
      </c>
      <c r="AH11" s="3">
        <f>MOD(ROUNDDOWN(Sheet1!W31+W30,0),AH$2)+AO29</f>
        <v>3</v>
      </c>
      <c r="AI11" s="3">
        <f>MOD(ROUNDDOWN(Sheet1!X31*X29/9,0),AI$2)+AP29</f>
        <v>3</v>
      </c>
      <c r="AJ11" s="3">
        <f>MOD(ROUNDDOWN(Sheet1!Y31*Y30/4,0),AJ$2)+AQ29</f>
        <v>3</v>
      </c>
      <c r="AL11" s="2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</row>
    <row r="12" spans="1:51" ht="18.75" x14ac:dyDescent="0.25">
      <c r="F12" s="16">
        <v>9</v>
      </c>
      <c r="G12" s="17">
        <f>VLOOKUP(H82,Sheet1!$M$40:$R$44,6,FALSE)+X13</f>
        <v>20</v>
      </c>
      <c r="H12" s="17">
        <f>VLOOKUP(I82,Sheet1!$M$40:$R$44,6,FALSE)+Y13</f>
        <v>26</v>
      </c>
      <c r="I12" s="17">
        <f>VLOOKUP(J82,Sheet1!$M$40:$R$44,6,FALSE)+Z13</f>
        <v>21</v>
      </c>
      <c r="J12" s="17">
        <f>VLOOKUP(K82,Sheet1!$M$40:$R$44,6,FALSE)+AA13</f>
        <v>20</v>
      </c>
      <c r="K12" s="17">
        <f>VLOOKUP(L82,Sheet1!$M$40:$R$44,6,FALSE)+AB13</f>
        <v>20</v>
      </c>
      <c r="L12" s="17">
        <f>VLOOKUP(M82,Sheet1!$M$40:$R$44,6,FALSE)+AC13</f>
        <v>24</v>
      </c>
      <c r="M12" s="17">
        <f>VLOOKUP(N82,Sheet1!$M$40:$R$44,6,FALSE)+AD13</f>
        <v>249</v>
      </c>
      <c r="N12" s="17">
        <f>VLOOKUP(O82,Sheet1!$M$40:$R$44,6,FALSE)+AE13</f>
        <v>248</v>
      </c>
      <c r="O12" s="17">
        <f>VLOOKUP(P82,Sheet1!$M$40:$R$44,6,FALSE)+AF13</f>
        <v>247</v>
      </c>
      <c r="P12" s="17">
        <f>VLOOKUP(Q82,Sheet1!$M$40:$R$44,6,FALSE)+AG13</f>
        <v>248</v>
      </c>
      <c r="Q12" s="17">
        <f>VLOOKUP(R82,Sheet1!$M$40:$R$44,6,FALSE)+AH13</f>
        <v>249</v>
      </c>
      <c r="R12" s="17">
        <f>VLOOKUP(S82,Sheet1!$M$40:$R$44,6,FALSE)+AI13</f>
        <v>250</v>
      </c>
      <c r="S12" s="17">
        <f>VLOOKUP(T82,Sheet1!$M$40:$R$44,6,FALSE)+AJ13</f>
        <v>57</v>
      </c>
      <c r="W12" s="2">
        <v>8</v>
      </c>
      <c r="X12" s="3">
        <f>MOD(ROUNDDOWN(Sheet1!M32*M30/3,0),X$2)+AE30</f>
        <v>2</v>
      </c>
      <c r="Y12" s="3">
        <f>MOD(ROUNDDOWN(Sheet1!N32-N30/5,0),Y$2)+AF30</f>
        <v>3</v>
      </c>
      <c r="Z12" s="3">
        <f>MOD(ROUNDDOWN(Sheet1!O32+O31/3,0),Z$2)+AG30</f>
        <v>2</v>
      </c>
      <c r="AA12" s="3">
        <f>MOD(ROUNDDOWN(Sheet1!P32^(MOD(P31,4)+1),0),AA$2)+AH30</f>
        <v>2</v>
      </c>
      <c r="AB12" s="3">
        <f>MOD(ROUNDDOWN(Sheet1!Q32^(MOD(Q31,4)+1),0),AB$2)</f>
        <v>2</v>
      </c>
      <c r="AC12" s="3">
        <f>MOD(ROUNDDOWN(Sheet1!R32*R31/9,0),AC$2)</f>
        <v>4</v>
      </c>
      <c r="AD12" s="3">
        <f>MOD(ROUNDDOWN(Sheet1!S32*S30,0),AD$2)+AK30</f>
        <v>0</v>
      </c>
      <c r="AE12" s="3">
        <f>MOD(ROUNDDOWN(Sheet1!T32+T30,0),AE$2)+AL30</f>
        <v>2</v>
      </c>
      <c r="AF12" s="3">
        <f>MOD(ROUNDDOWN(Sheet1!U32*U31/3,0),AF$2)+AM30</f>
        <v>3</v>
      </c>
      <c r="AG12" s="3">
        <f>MOD(ROUNDDOWN(Sheet1!V32*V31/9,0),AG$2)+AN30</f>
        <v>1</v>
      </c>
      <c r="AH12" s="3">
        <f>MOD(ROUNDDOWN(Sheet1!W32+W31,0),AH$2)+AO30</f>
        <v>1</v>
      </c>
      <c r="AI12" s="3">
        <f>MOD(ROUNDDOWN(Sheet1!X32*X30/9,0),AI$2)+AP30</f>
        <v>2</v>
      </c>
      <c r="AJ12" s="3">
        <f>MOD(ROUNDDOWN(Sheet1!Y32*Y31/4,0),AJ$2)+AQ30</f>
        <v>0</v>
      </c>
      <c r="AL12" s="2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</row>
    <row r="13" spans="1:51" ht="18.75" x14ac:dyDescent="0.25">
      <c r="F13" s="16">
        <v>10</v>
      </c>
      <c r="G13" s="17">
        <f>VLOOKUP(H83,Sheet1!$M$40:$R$44,6,FALSE)+X14</f>
        <v>23</v>
      </c>
      <c r="H13" s="17">
        <f>VLOOKUP(I83,Sheet1!$M$40:$R$44,6,FALSE)+Y14</f>
        <v>23</v>
      </c>
      <c r="I13" s="17">
        <f>VLOOKUP(J83,Sheet1!$M$40:$R$44,6,FALSE)+Z14</f>
        <v>22</v>
      </c>
      <c r="J13" s="17">
        <f>VLOOKUP(K83,Sheet1!$M$40:$R$44,6,FALSE)+AA14</f>
        <v>21</v>
      </c>
      <c r="K13" s="17">
        <f>VLOOKUP(L83,Sheet1!$M$40:$R$44,6,FALSE)+AB14</f>
        <v>20</v>
      </c>
      <c r="L13" s="17">
        <f>VLOOKUP(M83,Sheet1!$M$40:$R$44,6,FALSE)+AC14</f>
        <v>20</v>
      </c>
      <c r="M13" s="17">
        <f>VLOOKUP(N83,Sheet1!$M$40:$R$44,6,FALSE)+AD14</f>
        <v>247</v>
      </c>
      <c r="N13" s="17">
        <f>VLOOKUP(O83,Sheet1!$M$40:$R$44,6,FALSE)+AE14</f>
        <v>251</v>
      </c>
      <c r="O13" s="17">
        <f>VLOOKUP(P83,Sheet1!$M$40:$R$44,6,FALSE)+AF14</f>
        <v>247</v>
      </c>
      <c r="P13" s="17">
        <f>VLOOKUP(Q83,Sheet1!$M$40:$R$44,6,FALSE)+AG14</f>
        <v>248</v>
      </c>
      <c r="Q13" s="17">
        <f>VLOOKUP(R83,Sheet1!$M$40:$R$44,6,FALSE)+AH14</f>
        <v>249</v>
      </c>
      <c r="R13" s="17">
        <f>VLOOKUP(S83,Sheet1!$M$40:$R$44,6,FALSE)+AI14</f>
        <v>251</v>
      </c>
      <c r="S13" s="17">
        <f>VLOOKUP(T83,Sheet1!$M$40:$R$44,6,FALSE)+AJ14</f>
        <v>58</v>
      </c>
      <c r="W13" s="2">
        <v>9</v>
      </c>
      <c r="X13" s="3">
        <f>MOD(ROUNDDOWN(Sheet1!M33*M31/3,0),X$2)+AE31</f>
        <v>0</v>
      </c>
      <c r="Y13" s="3">
        <f>MOD(ROUNDDOWN(Sheet1!N33-N31/5,0),Y$2)+AF31</f>
        <v>6</v>
      </c>
      <c r="Z13" s="3">
        <f>MOD(ROUNDDOWN(Sheet1!O33+O32/3,0),Z$2)+AG31</f>
        <v>1</v>
      </c>
      <c r="AA13" s="3">
        <f>MOD(ROUNDDOWN(Sheet1!P33^(MOD(P32,4)+1),0),AA$2)+AH31</f>
        <v>0</v>
      </c>
      <c r="AB13" s="3">
        <f>MOD(ROUNDDOWN(Sheet1!Q33^(MOD(Q32,4)+1),0),AB$2)</f>
        <v>0</v>
      </c>
      <c r="AC13" s="3">
        <f>MOD(ROUNDDOWN(Sheet1!R33*R32/9,0),AC$2)</f>
        <v>4</v>
      </c>
      <c r="AD13" s="3">
        <f>MOD(ROUNDDOWN(Sheet1!S33*S31,0),AD$2)+AK31</f>
        <v>3</v>
      </c>
      <c r="AE13" s="3">
        <f>MOD(ROUNDDOWN(Sheet1!T33+T31,0),AE$2)+AL31</f>
        <v>2</v>
      </c>
      <c r="AF13" s="3">
        <f>MOD(ROUNDDOWN(Sheet1!U33*U32/3,0),AF$2)+AM31</f>
        <v>1</v>
      </c>
      <c r="AG13" s="3">
        <f>MOD(ROUNDDOWN(Sheet1!V33*V32/9,0),AG$2)+AN31</f>
        <v>2</v>
      </c>
      <c r="AH13" s="3">
        <f>MOD(ROUNDDOWN(Sheet1!W33+W32,0),AH$2)+AO31</f>
        <v>3</v>
      </c>
      <c r="AI13" s="3">
        <f>MOD(ROUNDDOWN(Sheet1!X33*X31/9,0),AI$2)+AP31</f>
        <v>4</v>
      </c>
      <c r="AJ13" s="3">
        <f>MOD(ROUNDDOWN(Sheet1!Y33*Y32/4,0),AJ$2)+AQ31</f>
        <v>1</v>
      </c>
      <c r="AL13" s="2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</row>
    <row r="14" spans="1:51" ht="18.75" x14ac:dyDescent="0.25">
      <c r="F14" s="16">
        <v>11</v>
      </c>
      <c r="G14" s="17">
        <f>VLOOKUP(H84,Sheet1!$M$40:$R$44,6,FALSE)+X15</f>
        <v>22</v>
      </c>
      <c r="H14" s="17">
        <f>VLOOKUP(I84,Sheet1!$M$40:$R$44,6,FALSE)+Y15</f>
        <v>24</v>
      </c>
      <c r="I14" s="17">
        <f>VLOOKUP(J84,Sheet1!$M$40:$R$44,6,FALSE)+Z15</f>
        <v>24</v>
      </c>
      <c r="J14" s="17">
        <f>VLOOKUP(K84,Sheet1!$M$40:$R$44,6,FALSE)+AA15</f>
        <v>22</v>
      </c>
      <c r="K14" s="17">
        <f>VLOOKUP(L84,Sheet1!$M$40:$R$44,6,FALSE)+AB15</f>
        <v>21</v>
      </c>
      <c r="L14" s="17">
        <f>VLOOKUP(M84,Sheet1!$M$40:$R$44,6,FALSE)+AC15</f>
        <v>20</v>
      </c>
      <c r="M14" s="17">
        <f>VLOOKUP(N84,Sheet1!$M$40:$R$44,6,FALSE)+AD15</f>
        <v>66</v>
      </c>
      <c r="N14" s="17">
        <f>VLOOKUP(O84,Sheet1!$M$40:$R$44,6,FALSE)+AE15</f>
        <v>66</v>
      </c>
      <c r="O14" s="17">
        <f>VLOOKUP(P84,Sheet1!$M$40:$R$44,6,FALSE)+AF15</f>
        <v>67</v>
      </c>
      <c r="P14" s="17">
        <f>VLOOKUP(Q84,Sheet1!$M$40:$R$44,6,FALSE)+AG15</f>
        <v>65</v>
      </c>
      <c r="Q14" s="17">
        <f>VLOOKUP(R84,Sheet1!$M$40:$R$44,6,FALSE)+AH15</f>
        <v>63</v>
      </c>
      <c r="R14" s="17">
        <f>VLOOKUP(S84,Sheet1!$M$40:$R$44,6,FALSE)+AI15</f>
        <v>65</v>
      </c>
      <c r="S14" s="17">
        <f>VLOOKUP(T84,Sheet1!$M$40:$R$44,6,FALSE)+AJ15</f>
        <v>60</v>
      </c>
      <c r="W14" s="2">
        <v>10</v>
      </c>
      <c r="X14" s="3">
        <f>MOD(ROUNDDOWN(Sheet1!M34*M32/3,0),X$2)+AE32</f>
        <v>3</v>
      </c>
      <c r="Y14" s="3">
        <f>MOD(ROUNDDOWN(Sheet1!N34-N32/5,0),Y$2)+AF32</f>
        <v>3</v>
      </c>
      <c r="Z14" s="3">
        <f>MOD(ROUNDDOWN(Sheet1!O34+O33/3,0),Z$2)+AG32</f>
        <v>2</v>
      </c>
      <c r="AA14" s="3">
        <f>MOD(ROUNDDOWN(Sheet1!P34^(MOD(P33,4)+1),0),AA$2)+AH32</f>
        <v>1</v>
      </c>
      <c r="AB14" s="3">
        <f>MOD(ROUNDDOWN(Sheet1!Q34^(MOD(Q33,4)+1),0),AB$2)</f>
        <v>0</v>
      </c>
      <c r="AC14" s="3">
        <f>MOD(ROUNDDOWN(Sheet1!R34*R33/9,0),AC$2)</f>
        <v>0</v>
      </c>
      <c r="AD14" s="3">
        <f>MOD(ROUNDDOWN(Sheet1!S34*S32,0),AD$2)+AK32</f>
        <v>1</v>
      </c>
      <c r="AE14" s="3">
        <f>MOD(ROUNDDOWN(Sheet1!T34+T32,0),AE$2)+AL32</f>
        <v>5</v>
      </c>
      <c r="AF14" s="3">
        <f>MOD(ROUNDDOWN(Sheet1!U34*U33/3,0),AF$2)+AM32</f>
        <v>1</v>
      </c>
      <c r="AG14" s="3">
        <f>MOD(ROUNDDOWN(Sheet1!V34*V33/9,0),AG$2)+AN32</f>
        <v>2</v>
      </c>
      <c r="AH14" s="3">
        <f>MOD(ROUNDDOWN(Sheet1!W34+W33,0),AH$2)+AO32</f>
        <v>3</v>
      </c>
      <c r="AI14" s="3">
        <f>MOD(ROUNDDOWN(Sheet1!X34*X32/9,0),AI$2)+AP32</f>
        <v>5</v>
      </c>
      <c r="AJ14" s="3">
        <f>MOD(ROUNDDOWN(Sheet1!Y34*Y33/4,0),AJ$2)+AQ32</f>
        <v>2</v>
      </c>
      <c r="AL14" s="2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</row>
    <row r="15" spans="1:51" ht="18.75" x14ac:dyDescent="0.25">
      <c r="F15" s="16">
        <v>12</v>
      </c>
      <c r="G15" s="17">
        <f>VLOOKUP(H85,Sheet1!$M$40:$R$44,6,FALSE)+X16</f>
        <v>20</v>
      </c>
      <c r="H15" s="17">
        <f>VLOOKUP(I85,Sheet1!$M$40:$R$44,6,FALSE)+Y16</f>
        <v>24</v>
      </c>
      <c r="I15" s="17">
        <f>VLOOKUP(J85,Sheet1!$M$40:$R$44,6,FALSE)+Z16</f>
        <v>25</v>
      </c>
      <c r="J15" s="17">
        <f>VLOOKUP(K85,Sheet1!$M$40:$R$44,6,FALSE)+AA16</f>
        <v>24</v>
      </c>
      <c r="K15" s="17">
        <f>VLOOKUP(L85,Sheet1!$M$40:$R$44,6,FALSE)+AB16</f>
        <v>24</v>
      </c>
      <c r="L15" s="17">
        <f>VLOOKUP(M85,Sheet1!$M$40:$R$44,6,FALSE)+AC16</f>
        <v>64</v>
      </c>
      <c r="M15" s="17">
        <f>VLOOKUP(N85,Sheet1!$M$40:$R$44,6,FALSE)+AD16</f>
        <v>69</v>
      </c>
      <c r="N15" s="17">
        <f>VLOOKUP(O85,Sheet1!$M$40:$R$44,6,FALSE)+AE16</f>
        <v>64</v>
      </c>
      <c r="O15" s="17">
        <f>VLOOKUP(P85,Sheet1!$M$40:$R$44,6,FALSE)+AF16</f>
        <v>63</v>
      </c>
      <c r="P15" s="17">
        <f>VLOOKUP(Q85,Sheet1!$M$40:$R$44,6,FALSE)+AG16</f>
        <v>66</v>
      </c>
      <c r="Q15" s="17">
        <f>VLOOKUP(R85,Sheet1!$M$40:$R$44,6,FALSE)+AH16</f>
        <v>64</v>
      </c>
      <c r="R15" s="17">
        <f>VLOOKUP(S85,Sheet1!$M$40:$R$44,6,FALSE)+AI16</f>
        <v>66</v>
      </c>
      <c r="S15" s="17">
        <f>VLOOKUP(T85,Sheet1!$M$40:$R$44,6,FALSE)+AJ16</f>
        <v>59</v>
      </c>
      <c r="W15" s="2">
        <v>11</v>
      </c>
      <c r="X15" s="3">
        <f>MOD(ROUNDDOWN(Sheet1!M35*M33/3,0),X$2)+AE33</f>
        <v>2</v>
      </c>
      <c r="Y15" s="3">
        <f>MOD(ROUNDDOWN(Sheet1!N35-N33/5,0),Y$2)+AF33</f>
        <v>4</v>
      </c>
      <c r="Z15" s="3">
        <f>MOD(ROUNDDOWN(Sheet1!O35+O34/3,0),Z$2)+AG33</f>
        <v>4</v>
      </c>
      <c r="AA15" s="3">
        <f>MOD(ROUNDDOWN(Sheet1!P35^(MOD(P34,4)+1),0),AA$2)+AH33</f>
        <v>2</v>
      </c>
      <c r="AB15" s="3">
        <f>MOD(ROUNDDOWN(Sheet1!Q35^(MOD(Q34,4)+1),0),AB$2)</f>
        <v>1</v>
      </c>
      <c r="AC15" s="3">
        <f>MOD(ROUNDDOWN(Sheet1!R35*R34/9,0),AC$2)</f>
        <v>0</v>
      </c>
      <c r="AD15" s="3">
        <f>MOD(ROUNDDOWN(Sheet1!S35*S33,0),AD$2)+AK33</f>
        <v>4</v>
      </c>
      <c r="AE15" s="3">
        <f>MOD(ROUNDDOWN(Sheet1!T35+T33,0),AE$2)+AL33</f>
        <v>4</v>
      </c>
      <c r="AF15" s="3">
        <f>MOD(ROUNDDOWN(Sheet1!U35*U34/3,0),AF$2)+AM33</f>
        <v>5</v>
      </c>
      <c r="AG15" s="3">
        <f>MOD(ROUNDDOWN(Sheet1!V35*V34/9,0),AG$2)+AN33</f>
        <v>3</v>
      </c>
      <c r="AH15" s="3">
        <f>MOD(ROUNDDOWN(Sheet1!W35+W34,0),AH$2)+AO33</f>
        <v>1</v>
      </c>
      <c r="AI15" s="3">
        <f>MOD(ROUNDDOWN(Sheet1!X35*X33/9,0),AI$2)+AP33</f>
        <v>3</v>
      </c>
      <c r="AJ15" s="3">
        <f>MOD(ROUNDDOWN(Sheet1!Y35*Y34/4,0),AJ$2)+AQ33</f>
        <v>4</v>
      </c>
      <c r="AL15" s="2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</row>
    <row r="16" spans="1:51" ht="18.75" x14ac:dyDescent="0.25">
      <c r="F16" s="2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W16" s="2">
        <v>12</v>
      </c>
      <c r="X16" s="3">
        <f>MOD(ROUNDDOWN(Sheet1!M36*M34/3,0),X$2)+AE34</f>
        <v>0</v>
      </c>
      <c r="Y16" s="3">
        <f>MOD(ROUNDDOWN(Sheet1!N36-N34/5,0),Y$2)+AF34</f>
        <v>4</v>
      </c>
      <c r="Z16" s="3">
        <f>MOD(ROUNDDOWN(Sheet1!O36+O35/3,0),Z$2)+AG34</f>
        <v>5</v>
      </c>
      <c r="AA16" s="3">
        <f>MOD(ROUNDDOWN(Sheet1!P36^(MOD(P35,4)+1),0),AA$2)+AH34</f>
        <v>4</v>
      </c>
      <c r="AB16" s="3">
        <f>MOD(ROUNDDOWN(Sheet1!Q36^(MOD(Q35,4)+1),0),AB$2)</f>
        <v>4</v>
      </c>
      <c r="AC16" s="3">
        <f>MOD(ROUNDDOWN(Sheet1!R36*R35/9,0),AC$2)</f>
        <v>2</v>
      </c>
      <c r="AD16" s="3">
        <f>MOD(ROUNDDOWN(Sheet1!S36*S34,0),AD$2)+AK34</f>
        <v>7</v>
      </c>
      <c r="AE16" s="3">
        <f>MOD(ROUNDDOWN(Sheet1!T36+T34,0),AE$2)+AL34</f>
        <v>2</v>
      </c>
      <c r="AF16" s="3">
        <f>MOD(ROUNDDOWN(Sheet1!U36*U35/3,0),AF$2)+AM34</f>
        <v>1</v>
      </c>
      <c r="AG16" s="3">
        <f>MOD(ROUNDDOWN(Sheet1!V36*V35/9,0),AG$2)+AN34</f>
        <v>4</v>
      </c>
      <c r="AH16" s="3">
        <f>MOD(ROUNDDOWN(Sheet1!W36+W35,0),AH$2)+AO34</f>
        <v>2</v>
      </c>
      <c r="AI16" s="3">
        <f>MOD(ROUNDDOWN(Sheet1!X36*X34/9,0),AI$2)+AP34</f>
        <v>4</v>
      </c>
      <c r="AJ16" s="3">
        <f>MOD(ROUNDDOWN(Sheet1!Y36*Y35/4,0),AJ$2)+AQ34</f>
        <v>3</v>
      </c>
      <c r="AL16" s="2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</row>
    <row r="17" spans="1:43" x14ac:dyDescent="0.25">
      <c r="K17" s="1" t="s">
        <v>8</v>
      </c>
    </row>
    <row r="18" spans="1:43" x14ac:dyDescent="0.25">
      <c r="B18" s="14" t="s">
        <v>7</v>
      </c>
    </row>
    <row r="19" spans="1:43" x14ac:dyDescent="0.25">
      <c r="B19" s="14" t="s">
        <v>9</v>
      </c>
    </row>
    <row r="20" spans="1:43" hidden="1" x14ac:dyDescent="0.25">
      <c r="B20" s="1" t="s">
        <v>1</v>
      </c>
      <c r="C20" s="6" t="str">
        <f>StringToMD5Hex(C4)</f>
        <v>f1887d3f9e6ee7a32fe5e76f4ab80d63</v>
      </c>
    </row>
    <row r="21" spans="1:43" hidden="1" x14ac:dyDescent="0.25">
      <c r="A21" s="1" t="s">
        <v>6</v>
      </c>
      <c r="C21" s="6" t="str">
        <f>StringToMD5Hex(C20)</f>
        <v>23f3e6392a0b988123d805405fa2d04f</v>
      </c>
      <c r="AE21" s="1">
        <v>0</v>
      </c>
      <c r="AF21" s="1">
        <v>1</v>
      </c>
      <c r="AG21" s="1">
        <v>2</v>
      </c>
      <c r="AH21" s="1">
        <v>3</v>
      </c>
      <c r="AI21" s="1">
        <v>4</v>
      </c>
      <c r="AJ21" s="1">
        <v>5</v>
      </c>
      <c r="AK21" s="1">
        <v>6</v>
      </c>
      <c r="AL21" s="1">
        <v>7</v>
      </c>
      <c r="AM21" s="1">
        <v>8</v>
      </c>
      <c r="AN21" s="1">
        <v>9</v>
      </c>
      <c r="AO21" s="1">
        <v>10</v>
      </c>
      <c r="AP21" s="1">
        <v>11</v>
      </c>
      <c r="AQ21" s="1">
        <v>12</v>
      </c>
    </row>
    <row r="22" spans="1:43" hidden="1" x14ac:dyDescent="0.25">
      <c r="A22" s="1">
        <v>1</v>
      </c>
      <c r="B22" s="1">
        <v>1</v>
      </c>
      <c r="C22" s="7" t="str">
        <f t="shared" ref="C22:C37" si="0">MID($C$20,B22,2)</f>
        <v>f1</v>
      </c>
      <c r="D22" s="7" t="str">
        <f t="shared" ref="D22:D37" si="1">MID($C$21,B22,2)</f>
        <v>23</v>
      </c>
      <c r="E22" s="7" t="str">
        <f t="shared" ref="E22:E33" si="2">HEX2BIN(C22,8)</f>
        <v>11110001</v>
      </c>
      <c r="F22" s="7" t="str">
        <f t="shared" ref="F22:F33" si="3">HEX2BIN(D22,8)</f>
        <v>00100011</v>
      </c>
      <c r="G22" s="7" t="str">
        <f t="shared" ref="G22:G33" si="4">HEX2OCT(C22&amp;C23,8)</f>
        <v>00170610</v>
      </c>
      <c r="H22" s="7" t="str">
        <f t="shared" ref="H22:H33" si="5">HEX2OCT(D22&amp;D23,8)</f>
        <v>00021763</v>
      </c>
      <c r="I22" s="7" t="str">
        <f t="shared" ref="I22:I33" si="6">HEX2OCT(C22&amp;D22,8)</f>
        <v>00170443</v>
      </c>
      <c r="J22" s="7">
        <f t="shared" ref="J22:J33" si="7">HEX2DEC(C22)</f>
        <v>241</v>
      </c>
      <c r="K22" s="7">
        <f t="shared" ref="K22:K33" si="8">HEX2DEC(D22)</f>
        <v>35</v>
      </c>
      <c r="L22" s="7"/>
      <c r="M22" s="7">
        <f t="shared" ref="M22:M33" si="9">BIN2DEC(MID(E22,1,4))*7</f>
        <v>105</v>
      </c>
      <c r="N22" s="7">
        <f t="shared" ref="N22:N33" si="10">BIN2DEC(MID(E22,3,4))*11</f>
        <v>132</v>
      </c>
      <c r="O22" s="7">
        <f t="shared" ref="O22:O33" si="11">VALUE(LEFT(G22,4))</f>
        <v>17</v>
      </c>
      <c r="P22" s="7">
        <f t="shared" ref="P22:P33" si="12">BIN2DEC(MID(F22,3,4))</f>
        <v>8</v>
      </c>
      <c r="Q22" s="7">
        <f t="shared" ref="Q22:Q33" si="13">BIN2DEC(MID(F22,4,4))</f>
        <v>1</v>
      </c>
      <c r="R22" s="7">
        <f t="shared" ref="R22:R33" si="14">VALUE(MID(G22,4,2))</f>
        <v>70</v>
      </c>
      <c r="S22" s="7">
        <f t="shared" ref="S22:S33" si="15">VALUE(MID(G22,5,2))</f>
        <v>6</v>
      </c>
      <c r="T22" s="7">
        <f t="shared" ref="T22:T33" si="16">VALUE(MID(H22,1,4))</f>
        <v>2</v>
      </c>
      <c r="U22" s="7">
        <f t="shared" ref="U22:U33" si="17">VALUE(MID(H22,3,3))</f>
        <v>21</v>
      </c>
      <c r="V22" s="7">
        <f t="shared" ref="V22:V33" si="18">VALUE(MID(H22,6,2))</f>
        <v>76</v>
      </c>
      <c r="W22" s="7">
        <f t="shared" ref="W22:W33" si="19">VALUE(MID(I22,1,4))</f>
        <v>17</v>
      </c>
      <c r="X22" s="7">
        <f t="shared" ref="X22:X33" si="20">_xlfn.CEILING.MATH(VALUE(MID(I22,5,3))/2,1)</f>
        <v>22</v>
      </c>
      <c r="Y22" s="7">
        <f t="shared" ref="Y22:Y33" si="21">VALUE(MID(I22,6,2))</f>
        <v>44</v>
      </c>
      <c r="Z22" s="7">
        <f t="shared" ref="Z22:Z33" si="22">VALUE(MID(J22,1,2))</f>
        <v>24</v>
      </c>
      <c r="AA22" s="7">
        <f t="shared" ref="AA22:AA33" si="23">VALUE(MID(K22*2,2,2))</f>
        <v>0</v>
      </c>
      <c r="AB22" s="7">
        <f t="shared" ref="AB22:AB33" si="24">VALUE(MID(J22+K22,2,2))</f>
        <v>76</v>
      </c>
      <c r="AC22" s="7"/>
      <c r="AD22" s="1">
        <v>0</v>
      </c>
      <c r="AE22" s="1">
        <v>1</v>
      </c>
      <c r="AF22" s="1">
        <v>1</v>
      </c>
      <c r="AG22" s="1">
        <v>1</v>
      </c>
      <c r="AH22" s="1">
        <v>1</v>
      </c>
      <c r="AI22" s="1">
        <v>0</v>
      </c>
      <c r="AJ22" s="1">
        <v>0</v>
      </c>
      <c r="AK22" s="1">
        <v>1</v>
      </c>
      <c r="AL22" s="1">
        <v>0</v>
      </c>
      <c r="AM22" s="1">
        <v>1</v>
      </c>
      <c r="AN22" s="1">
        <v>0</v>
      </c>
      <c r="AO22" s="1">
        <v>1</v>
      </c>
      <c r="AP22" s="1">
        <v>1</v>
      </c>
      <c r="AQ22" s="1">
        <v>0</v>
      </c>
    </row>
    <row r="23" spans="1:43" hidden="1" x14ac:dyDescent="0.25">
      <c r="A23" s="1">
        <v>2</v>
      </c>
      <c r="B23" s="1">
        <v>3</v>
      </c>
      <c r="C23" s="7" t="str">
        <f t="shared" si="0"/>
        <v>88</v>
      </c>
      <c r="D23" s="7" t="str">
        <f t="shared" si="1"/>
        <v>f3</v>
      </c>
      <c r="E23" s="7" t="str">
        <f t="shared" si="2"/>
        <v>10001000</v>
      </c>
      <c r="F23" s="7" t="str">
        <f t="shared" si="3"/>
        <v>11110011</v>
      </c>
      <c r="G23" s="7" t="str">
        <f t="shared" si="4"/>
        <v>00104175</v>
      </c>
      <c r="H23" s="7" t="str">
        <f t="shared" si="5"/>
        <v>00171746</v>
      </c>
      <c r="I23" s="7" t="str">
        <f t="shared" si="6"/>
        <v>00104363</v>
      </c>
      <c r="J23" s="7">
        <f t="shared" si="7"/>
        <v>136</v>
      </c>
      <c r="K23" s="7">
        <f t="shared" si="8"/>
        <v>243</v>
      </c>
      <c r="L23" s="7"/>
      <c r="M23" s="7">
        <f t="shared" si="9"/>
        <v>56</v>
      </c>
      <c r="N23" s="7">
        <f t="shared" si="10"/>
        <v>22</v>
      </c>
      <c r="O23" s="7">
        <f t="shared" si="11"/>
        <v>10</v>
      </c>
      <c r="P23" s="7">
        <f t="shared" si="12"/>
        <v>12</v>
      </c>
      <c r="Q23" s="7">
        <f t="shared" si="13"/>
        <v>9</v>
      </c>
      <c r="R23" s="7">
        <f t="shared" si="14"/>
        <v>4</v>
      </c>
      <c r="S23" s="7">
        <f t="shared" si="15"/>
        <v>41</v>
      </c>
      <c r="T23" s="7">
        <f t="shared" si="16"/>
        <v>17</v>
      </c>
      <c r="U23" s="7">
        <f t="shared" si="17"/>
        <v>171</v>
      </c>
      <c r="V23" s="7">
        <f t="shared" si="18"/>
        <v>74</v>
      </c>
      <c r="W23" s="7">
        <f t="shared" si="19"/>
        <v>10</v>
      </c>
      <c r="X23" s="7">
        <f t="shared" si="20"/>
        <v>218</v>
      </c>
      <c r="Y23" s="7">
        <f t="shared" si="21"/>
        <v>36</v>
      </c>
      <c r="Z23" s="7">
        <f t="shared" si="22"/>
        <v>13</v>
      </c>
      <c r="AA23" s="7">
        <f t="shared" si="23"/>
        <v>86</v>
      </c>
      <c r="AB23" s="7">
        <f t="shared" si="24"/>
        <v>79</v>
      </c>
      <c r="AD23" s="1">
        <v>1</v>
      </c>
      <c r="AE23" s="1">
        <v>1</v>
      </c>
      <c r="AF23" s="1">
        <v>1</v>
      </c>
      <c r="AG23" s="1">
        <v>0</v>
      </c>
      <c r="AH23" s="1">
        <v>1</v>
      </c>
      <c r="AI23" s="1">
        <v>1</v>
      </c>
      <c r="AJ23" s="1">
        <v>0</v>
      </c>
      <c r="AK23" s="1">
        <v>1</v>
      </c>
      <c r="AL23" s="1">
        <v>1</v>
      </c>
      <c r="AM23" s="1">
        <v>1</v>
      </c>
      <c r="AN23" s="1">
        <v>0</v>
      </c>
      <c r="AO23" s="1">
        <v>0</v>
      </c>
      <c r="AP23" s="1">
        <v>1</v>
      </c>
      <c r="AQ23" s="1">
        <v>1</v>
      </c>
    </row>
    <row r="24" spans="1:43" hidden="1" x14ac:dyDescent="0.25">
      <c r="A24" s="1">
        <v>3</v>
      </c>
      <c r="B24" s="1">
        <v>5</v>
      </c>
      <c r="C24" s="7" t="str">
        <f t="shared" si="0"/>
        <v>7d</v>
      </c>
      <c r="D24" s="7" t="str">
        <f t="shared" si="1"/>
        <v>e6</v>
      </c>
      <c r="E24" s="7" t="str">
        <f t="shared" si="2"/>
        <v>01111101</v>
      </c>
      <c r="F24" s="7" t="str">
        <f t="shared" si="3"/>
        <v>11100110</v>
      </c>
      <c r="G24" s="7" t="str">
        <f t="shared" si="4"/>
        <v>00076477</v>
      </c>
      <c r="H24" s="7" t="str">
        <f t="shared" si="5"/>
        <v>00163071</v>
      </c>
      <c r="I24" s="7" t="str">
        <f t="shared" si="6"/>
        <v>00076746</v>
      </c>
      <c r="J24" s="7">
        <f t="shared" si="7"/>
        <v>125</v>
      </c>
      <c r="K24" s="7">
        <f t="shared" si="8"/>
        <v>230</v>
      </c>
      <c r="L24" s="7"/>
      <c r="M24" s="7">
        <f t="shared" si="9"/>
        <v>49</v>
      </c>
      <c r="N24" s="7">
        <f t="shared" si="10"/>
        <v>165</v>
      </c>
      <c r="O24" s="7">
        <f t="shared" si="11"/>
        <v>7</v>
      </c>
      <c r="P24" s="7">
        <f t="shared" si="12"/>
        <v>9</v>
      </c>
      <c r="Q24" s="7">
        <f t="shared" si="13"/>
        <v>3</v>
      </c>
      <c r="R24" s="7">
        <f t="shared" si="14"/>
        <v>76</v>
      </c>
      <c r="S24" s="7">
        <f t="shared" si="15"/>
        <v>64</v>
      </c>
      <c r="T24" s="7">
        <f t="shared" si="16"/>
        <v>16</v>
      </c>
      <c r="U24" s="7">
        <f t="shared" si="17"/>
        <v>163</v>
      </c>
      <c r="V24" s="7">
        <f t="shared" si="18"/>
        <v>7</v>
      </c>
      <c r="W24" s="7">
        <f t="shared" si="19"/>
        <v>7</v>
      </c>
      <c r="X24" s="7">
        <f t="shared" si="20"/>
        <v>337</v>
      </c>
      <c r="Y24" s="7">
        <f t="shared" si="21"/>
        <v>74</v>
      </c>
      <c r="Z24" s="7">
        <f t="shared" si="22"/>
        <v>12</v>
      </c>
      <c r="AA24" s="7">
        <f t="shared" si="23"/>
        <v>60</v>
      </c>
      <c r="AB24" s="7">
        <f t="shared" si="24"/>
        <v>55</v>
      </c>
      <c r="AD24" s="1">
        <v>2</v>
      </c>
      <c r="AE24" s="1">
        <v>1</v>
      </c>
      <c r="AF24" s="1">
        <v>1</v>
      </c>
      <c r="AG24" s="1">
        <v>0</v>
      </c>
      <c r="AH24" s="1">
        <v>1</v>
      </c>
      <c r="AI24" s="1">
        <v>0</v>
      </c>
      <c r="AJ24" s="1">
        <v>1</v>
      </c>
      <c r="AK24" s="1">
        <v>0</v>
      </c>
      <c r="AL24" s="1">
        <v>0</v>
      </c>
      <c r="AM24" s="1">
        <v>0</v>
      </c>
      <c r="AN24" s="1">
        <v>1</v>
      </c>
      <c r="AO24" s="1">
        <v>1</v>
      </c>
      <c r="AP24" s="1">
        <v>1</v>
      </c>
      <c r="AQ24" s="1">
        <v>1</v>
      </c>
    </row>
    <row r="25" spans="1:43" hidden="1" x14ac:dyDescent="0.25">
      <c r="A25" s="1">
        <v>4</v>
      </c>
      <c r="B25" s="1">
        <v>7</v>
      </c>
      <c r="C25" s="7" t="str">
        <f t="shared" si="0"/>
        <v>3f</v>
      </c>
      <c r="D25" s="7" t="str">
        <f t="shared" si="1"/>
        <v>39</v>
      </c>
      <c r="E25" s="7" t="str">
        <f t="shared" si="2"/>
        <v>00111111</v>
      </c>
      <c r="F25" s="7" t="str">
        <f t="shared" si="3"/>
        <v>00111001</v>
      </c>
      <c r="G25" s="7" t="str">
        <f t="shared" si="4"/>
        <v>00037636</v>
      </c>
      <c r="H25" s="7" t="str">
        <f t="shared" si="5"/>
        <v>00034452</v>
      </c>
      <c r="I25" s="7" t="str">
        <f t="shared" si="6"/>
        <v>00037471</v>
      </c>
      <c r="J25" s="7">
        <f t="shared" si="7"/>
        <v>63</v>
      </c>
      <c r="K25" s="7">
        <f t="shared" si="8"/>
        <v>57</v>
      </c>
      <c r="L25" s="7"/>
      <c r="M25" s="7">
        <f t="shared" si="9"/>
        <v>21</v>
      </c>
      <c r="N25" s="7">
        <f t="shared" si="10"/>
        <v>165</v>
      </c>
      <c r="O25" s="7">
        <f t="shared" si="11"/>
        <v>3</v>
      </c>
      <c r="P25" s="7">
        <f t="shared" si="12"/>
        <v>14</v>
      </c>
      <c r="Q25" s="7">
        <f t="shared" si="13"/>
        <v>12</v>
      </c>
      <c r="R25" s="7">
        <f t="shared" si="14"/>
        <v>37</v>
      </c>
      <c r="S25" s="7">
        <f t="shared" si="15"/>
        <v>76</v>
      </c>
      <c r="T25" s="7">
        <f t="shared" si="16"/>
        <v>3</v>
      </c>
      <c r="U25" s="7">
        <f t="shared" si="17"/>
        <v>34</v>
      </c>
      <c r="V25" s="7">
        <f t="shared" si="18"/>
        <v>45</v>
      </c>
      <c r="W25" s="7">
        <f t="shared" si="19"/>
        <v>3</v>
      </c>
      <c r="X25" s="7">
        <f t="shared" si="20"/>
        <v>374</v>
      </c>
      <c r="Y25" s="7">
        <f t="shared" si="21"/>
        <v>47</v>
      </c>
      <c r="Z25" s="7">
        <f t="shared" si="22"/>
        <v>63</v>
      </c>
      <c r="AA25" s="7">
        <f t="shared" si="23"/>
        <v>14</v>
      </c>
      <c r="AB25" s="7">
        <f t="shared" si="24"/>
        <v>20</v>
      </c>
      <c r="AD25" s="1">
        <v>3</v>
      </c>
      <c r="AE25" s="1">
        <v>0</v>
      </c>
      <c r="AF25" s="1">
        <v>1</v>
      </c>
      <c r="AG25" s="1">
        <v>1</v>
      </c>
      <c r="AH25" s="1">
        <v>1</v>
      </c>
      <c r="AI25" s="1">
        <v>1</v>
      </c>
      <c r="AJ25" s="1">
        <v>1</v>
      </c>
      <c r="AK25" s="1">
        <v>1</v>
      </c>
      <c r="AL25" s="1">
        <v>1</v>
      </c>
      <c r="AM25" s="1">
        <v>0</v>
      </c>
      <c r="AN25" s="1">
        <v>1</v>
      </c>
      <c r="AO25" s="1">
        <v>1</v>
      </c>
      <c r="AP25" s="1">
        <v>1</v>
      </c>
      <c r="AQ25" s="1">
        <v>0</v>
      </c>
    </row>
    <row r="26" spans="1:43" hidden="1" x14ac:dyDescent="0.25">
      <c r="A26" s="1">
        <v>5</v>
      </c>
      <c r="B26" s="1">
        <v>9</v>
      </c>
      <c r="C26" s="7" t="str">
        <f t="shared" si="0"/>
        <v>9e</v>
      </c>
      <c r="D26" s="7" t="str">
        <f t="shared" si="1"/>
        <v>2a</v>
      </c>
      <c r="E26" s="7" t="str">
        <f t="shared" si="2"/>
        <v>10011110</v>
      </c>
      <c r="F26" s="7" t="str">
        <f t="shared" si="3"/>
        <v>00101010</v>
      </c>
      <c r="G26" s="7" t="str">
        <f t="shared" si="4"/>
        <v>00117156</v>
      </c>
      <c r="H26" s="7" t="str">
        <f t="shared" si="5"/>
        <v>00025013</v>
      </c>
      <c r="I26" s="7" t="str">
        <f t="shared" si="6"/>
        <v>00117052</v>
      </c>
      <c r="J26" s="7">
        <f t="shared" si="7"/>
        <v>158</v>
      </c>
      <c r="K26" s="7">
        <f t="shared" si="8"/>
        <v>42</v>
      </c>
      <c r="L26" s="7"/>
      <c r="M26" s="7">
        <f t="shared" si="9"/>
        <v>63</v>
      </c>
      <c r="N26" s="7">
        <f t="shared" si="10"/>
        <v>77</v>
      </c>
      <c r="O26" s="7">
        <f t="shared" si="11"/>
        <v>11</v>
      </c>
      <c r="P26" s="7">
        <f t="shared" si="12"/>
        <v>10</v>
      </c>
      <c r="Q26" s="7">
        <f t="shared" si="13"/>
        <v>5</v>
      </c>
      <c r="R26" s="7">
        <f t="shared" si="14"/>
        <v>17</v>
      </c>
      <c r="S26" s="7">
        <f t="shared" si="15"/>
        <v>71</v>
      </c>
      <c r="T26" s="7">
        <f t="shared" si="16"/>
        <v>2</v>
      </c>
      <c r="U26" s="7">
        <f t="shared" si="17"/>
        <v>25</v>
      </c>
      <c r="V26" s="7">
        <f t="shared" si="18"/>
        <v>1</v>
      </c>
      <c r="W26" s="7">
        <f t="shared" si="19"/>
        <v>11</v>
      </c>
      <c r="X26" s="7">
        <f t="shared" si="20"/>
        <v>353</v>
      </c>
      <c r="Y26" s="7">
        <f t="shared" si="21"/>
        <v>5</v>
      </c>
      <c r="Z26" s="7">
        <f t="shared" si="22"/>
        <v>15</v>
      </c>
      <c r="AA26" s="7">
        <f t="shared" si="23"/>
        <v>4</v>
      </c>
      <c r="AB26" s="7">
        <f t="shared" si="24"/>
        <v>0</v>
      </c>
      <c r="AD26" s="1">
        <v>4</v>
      </c>
      <c r="AE26" s="1">
        <v>1</v>
      </c>
      <c r="AF26" s="1">
        <v>0</v>
      </c>
      <c r="AG26" s="1">
        <v>0</v>
      </c>
      <c r="AH26" s="1">
        <v>1</v>
      </c>
      <c r="AI26" s="1">
        <v>0</v>
      </c>
      <c r="AJ26" s="1">
        <v>1</v>
      </c>
      <c r="AK26" s="1">
        <v>0</v>
      </c>
      <c r="AL26" s="1">
        <v>1</v>
      </c>
      <c r="AM26" s="1">
        <v>1</v>
      </c>
      <c r="AN26" s="1">
        <v>1</v>
      </c>
      <c r="AO26" s="1">
        <v>0</v>
      </c>
      <c r="AP26" s="1">
        <v>0</v>
      </c>
      <c r="AQ26" s="1">
        <v>1</v>
      </c>
    </row>
    <row r="27" spans="1:43" hidden="1" x14ac:dyDescent="0.25">
      <c r="A27" s="1">
        <v>6</v>
      </c>
      <c r="B27" s="1">
        <v>11</v>
      </c>
      <c r="C27" s="7" t="str">
        <f t="shared" si="0"/>
        <v>6e</v>
      </c>
      <c r="D27" s="7" t="str">
        <f t="shared" si="1"/>
        <v>0b</v>
      </c>
      <c r="E27" s="7" t="str">
        <f t="shared" si="2"/>
        <v>01101110</v>
      </c>
      <c r="F27" s="7" t="str">
        <f t="shared" si="3"/>
        <v>00001011</v>
      </c>
      <c r="G27" s="7" t="str">
        <f t="shared" si="4"/>
        <v>00067347</v>
      </c>
      <c r="H27" s="7" t="str">
        <f t="shared" si="5"/>
        <v>00005630</v>
      </c>
      <c r="I27" s="7" t="str">
        <f t="shared" si="6"/>
        <v>00067013</v>
      </c>
      <c r="J27" s="7">
        <f t="shared" si="7"/>
        <v>110</v>
      </c>
      <c r="K27" s="7">
        <f t="shared" si="8"/>
        <v>11</v>
      </c>
      <c r="L27" s="7"/>
      <c r="M27" s="7">
        <f t="shared" si="9"/>
        <v>42</v>
      </c>
      <c r="N27" s="7">
        <f t="shared" si="10"/>
        <v>121</v>
      </c>
      <c r="O27" s="7">
        <f t="shared" si="11"/>
        <v>6</v>
      </c>
      <c r="P27" s="7">
        <f t="shared" si="12"/>
        <v>2</v>
      </c>
      <c r="Q27" s="7">
        <f t="shared" si="13"/>
        <v>5</v>
      </c>
      <c r="R27" s="7">
        <f t="shared" si="14"/>
        <v>67</v>
      </c>
      <c r="S27" s="7">
        <f t="shared" si="15"/>
        <v>73</v>
      </c>
      <c r="T27" s="7">
        <f t="shared" si="16"/>
        <v>0</v>
      </c>
      <c r="U27" s="7">
        <f t="shared" si="17"/>
        <v>5</v>
      </c>
      <c r="V27" s="7">
        <f t="shared" si="18"/>
        <v>63</v>
      </c>
      <c r="W27" s="7">
        <f t="shared" si="19"/>
        <v>6</v>
      </c>
      <c r="X27" s="7">
        <f t="shared" si="20"/>
        <v>351</v>
      </c>
      <c r="Y27" s="7">
        <f t="shared" si="21"/>
        <v>1</v>
      </c>
      <c r="Z27" s="7">
        <f t="shared" si="22"/>
        <v>11</v>
      </c>
      <c r="AA27" s="7">
        <f t="shared" si="23"/>
        <v>2</v>
      </c>
      <c r="AB27" s="7">
        <f t="shared" si="24"/>
        <v>21</v>
      </c>
      <c r="AD27" s="1">
        <v>5</v>
      </c>
      <c r="AE27" s="1">
        <v>0</v>
      </c>
      <c r="AF27" s="1">
        <v>0</v>
      </c>
      <c r="AG27" s="1">
        <v>1</v>
      </c>
      <c r="AH27" s="1">
        <v>1</v>
      </c>
      <c r="AI27" s="1">
        <v>1</v>
      </c>
      <c r="AJ27" s="1">
        <v>1</v>
      </c>
      <c r="AK27" s="1">
        <v>1</v>
      </c>
      <c r="AL27" s="1">
        <v>0</v>
      </c>
      <c r="AM27" s="1">
        <v>0</v>
      </c>
      <c r="AN27" s="1">
        <v>1</v>
      </c>
      <c r="AO27" s="1">
        <v>1</v>
      </c>
      <c r="AP27" s="1">
        <v>1</v>
      </c>
      <c r="AQ27" s="1">
        <v>0</v>
      </c>
    </row>
    <row r="28" spans="1:43" hidden="1" x14ac:dyDescent="0.25">
      <c r="A28" s="1">
        <v>7</v>
      </c>
      <c r="B28" s="1">
        <v>13</v>
      </c>
      <c r="C28" s="7" t="str">
        <f t="shared" si="0"/>
        <v>e7</v>
      </c>
      <c r="D28" s="7" t="str">
        <f t="shared" si="1"/>
        <v>98</v>
      </c>
      <c r="E28" s="7" t="str">
        <f t="shared" si="2"/>
        <v>11100111</v>
      </c>
      <c r="F28" s="7" t="str">
        <f t="shared" si="3"/>
        <v>10011000</v>
      </c>
      <c r="G28" s="7" t="str">
        <f t="shared" si="4"/>
        <v>00163643</v>
      </c>
      <c r="H28" s="7" t="str">
        <f t="shared" si="5"/>
        <v>00114201</v>
      </c>
      <c r="I28" s="7" t="str">
        <f t="shared" si="6"/>
        <v>00163630</v>
      </c>
      <c r="J28" s="7">
        <f t="shared" si="7"/>
        <v>231</v>
      </c>
      <c r="K28" s="7">
        <f t="shared" si="8"/>
        <v>152</v>
      </c>
      <c r="L28" s="7"/>
      <c r="M28" s="7">
        <f t="shared" si="9"/>
        <v>98</v>
      </c>
      <c r="N28" s="7">
        <f t="shared" si="10"/>
        <v>99</v>
      </c>
      <c r="O28" s="7">
        <f t="shared" si="11"/>
        <v>16</v>
      </c>
      <c r="P28" s="7">
        <f t="shared" si="12"/>
        <v>6</v>
      </c>
      <c r="Q28" s="7">
        <f t="shared" si="13"/>
        <v>12</v>
      </c>
      <c r="R28" s="7">
        <f t="shared" si="14"/>
        <v>63</v>
      </c>
      <c r="S28" s="7">
        <f t="shared" si="15"/>
        <v>36</v>
      </c>
      <c r="T28" s="7">
        <f t="shared" si="16"/>
        <v>11</v>
      </c>
      <c r="U28" s="7">
        <f t="shared" si="17"/>
        <v>114</v>
      </c>
      <c r="V28" s="7">
        <f t="shared" si="18"/>
        <v>20</v>
      </c>
      <c r="W28" s="7">
        <f t="shared" si="19"/>
        <v>16</v>
      </c>
      <c r="X28" s="7">
        <f t="shared" si="20"/>
        <v>182</v>
      </c>
      <c r="Y28" s="7">
        <f t="shared" si="21"/>
        <v>63</v>
      </c>
      <c r="Z28" s="7">
        <f t="shared" si="22"/>
        <v>23</v>
      </c>
      <c r="AA28" s="7">
        <f t="shared" si="23"/>
        <v>4</v>
      </c>
      <c r="AB28" s="7">
        <f t="shared" si="24"/>
        <v>83</v>
      </c>
      <c r="AD28" s="1">
        <v>6</v>
      </c>
      <c r="AE28" s="1">
        <v>1</v>
      </c>
      <c r="AF28" s="1">
        <v>0</v>
      </c>
      <c r="AG28" s="1">
        <v>1</v>
      </c>
      <c r="AH28" s="1">
        <v>1</v>
      </c>
      <c r="AI28" s="1">
        <v>1</v>
      </c>
      <c r="AJ28" s="1">
        <v>1</v>
      </c>
      <c r="AK28" s="1">
        <v>0</v>
      </c>
      <c r="AL28" s="1">
        <v>1</v>
      </c>
      <c r="AM28" s="1">
        <v>1</v>
      </c>
      <c r="AN28" s="1">
        <v>0</v>
      </c>
      <c r="AO28" s="1">
        <v>1</v>
      </c>
      <c r="AP28" s="1">
        <v>0</v>
      </c>
      <c r="AQ28" s="1">
        <v>1</v>
      </c>
    </row>
    <row r="29" spans="1:43" hidden="1" x14ac:dyDescent="0.25">
      <c r="A29" s="1">
        <v>8</v>
      </c>
      <c r="B29" s="1">
        <v>15</v>
      </c>
      <c r="C29" s="7" t="str">
        <f t="shared" si="0"/>
        <v>a3</v>
      </c>
      <c r="D29" s="7" t="str">
        <f t="shared" si="1"/>
        <v>81</v>
      </c>
      <c r="E29" s="7" t="str">
        <f t="shared" si="2"/>
        <v>10100011</v>
      </c>
      <c r="F29" s="7" t="str">
        <f t="shared" si="3"/>
        <v>10000001</v>
      </c>
      <c r="G29" s="7" t="str">
        <f t="shared" si="4"/>
        <v>00121457</v>
      </c>
      <c r="H29" s="7" t="str">
        <f t="shared" si="5"/>
        <v>00100443</v>
      </c>
      <c r="I29" s="7" t="str">
        <f t="shared" si="6"/>
        <v>00121601</v>
      </c>
      <c r="J29" s="7">
        <f t="shared" si="7"/>
        <v>163</v>
      </c>
      <c r="K29" s="7">
        <f t="shared" si="8"/>
        <v>129</v>
      </c>
      <c r="L29" s="7"/>
      <c r="M29" s="7">
        <f t="shared" si="9"/>
        <v>70</v>
      </c>
      <c r="N29" s="7">
        <f t="shared" si="10"/>
        <v>88</v>
      </c>
      <c r="O29" s="7">
        <f t="shared" si="11"/>
        <v>12</v>
      </c>
      <c r="P29" s="7">
        <f t="shared" si="12"/>
        <v>0</v>
      </c>
      <c r="Q29" s="7">
        <f t="shared" si="13"/>
        <v>0</v>
      </c>
      <c r="R29" s="7">
        <f t="shared" si="14"/>
        <v>21</v>
      </c>
      <c r="S29" s="7">
        <f t="shared" si="15"/>
        <v>14</v>
      </c>
      <c r="T29" s="7">
        <f t="shared" si="16"/>
        <v>10</v>
      </c>
      <c r="U29" s="7">
        <f t="shared" si="17"/>
        <v>100</v>
      </c>
      <c r="V29" s="7">
        <f t="shared" si="18"/>
        <v>44</v>
      </c>
      <c r="W29" s="7">
        <f t="shared" si="19"/>
        <v>12</v>
      </c>
      <c r="X29" s="7">
        <f t="shared" si="20"/>
        <v>80</v>
      </c>
      <c r="Y29" s="7">
        <f t="shared" si="21"/>
        <v>60</v>
      </c>
      <c r="Z29" s="7">
        <f t="shared" si="22"/>
        <v>16</v>
      </c>
      <c r="AA29" s="7">
        <f t="shared" si="23"/>
        <v>58</v>
      </c>
      <c r="AB29" s="7">
        <f t="shared" si="24"/>
        <v>92</v>
      </c>
      <c r="AD29" s="1">
        <v>7</v>
      </c>
      <c r="AE29" s="1">
        <v>0</v>
      </c>
      <c r="AF29" s="1">
        <v>1</v>
      </c>
      <c r="AG29" s="1">
        <v>0</v>
      </c>
      <c r="AH29" s="1">
        <v>1</v>
      </c>
      <c r="AI29" s="1">
        <v>0</v>
      </c>
      <c r="AJ29" s="1">
        <v>1</v>
      </c>
      <c r="AK29" s="1">
        <v>1</v>
      </c>
      <c r="AL29" s="1">
        <v>1</v>
      </c>
      <c r="AM29" s="1">
        <v>0</v>
      </c>
      <c r="AN29" s="1">
        <v>0</v>
      </c>
      <c r="AO29" s="1">
        <v>1</v>
      </c>
      <c r="AP29" s="1">
        <v>1</v>
      </c>
      <c r="AQ29" s="1">
        <v>0</v>
      </c>
    </row>
    <row r="30" spans="1:43" hidden="1" x14ac:dyDescent="0.25">
      <c r="A30" s="1">
        <v>9</v>
      </c>
      <c r="B30" s="1">
        <v>17</v>
      </c>
      <c r="C30" s="7" t="str">
        <f t="shared" si="0"/>
        <v>2f</v>
      </c>
      <c r="D30" s="7" t="str">
        <f t="shared" si="1"/>
        <v>23</v>
      </c>
      <c r="E30" s="7" t="str">
        <f t="shared" si="2"/>
        <v>00101111</v>
      </c>
      <c r="F30" s="7" t="str">
        <f t="shared" si="3"/>
        <v>00100011</v>
      </c>
      <c r="G30" s="7" t="str">
        <f t="shared" si="4"/>
        <v>00027745</v>
      </c>
      <c r="H30" s="7" t="str">
        <f t="shared" si="5"/>
        <v>00021730</v>
      </c>
      <c r="I30" s="7" t="str">
        <f t="shared" si="6"/>
        <v>00027443</v>
      </c>
      <c r="J30" s="7">
        <f t="shared" si="7"/>
        <v>47</v>
      </c>
      <c r="K30" s="7">
        <f t="shared" si="8"/>
        <v>35</v>
      </c>
      <c r="L30" s="7"/>
      <c r="M30" s="7">
        <f t="shared" si="9"/>
        <v>14</v>
      </c>
      <c r="N30" s="7">
        <f t="shared" si="10"/>
        <v>121</v>
      </c>
      <c r="O30" s="7">
        <f t="shared" si="11"/>
        <v>2</v>
      </c>
      <c r="P30" s="7">
        <f t="shared" si="12"/>
        <v>8</v>
      </c>
      <c r="Q30" s="7">
        <f t="shared" si="13"/>
        <v>1</v>
      </c>
      <c r="R30" s="7">
        <f t="shared" si="14"/>
        <v>27</v>
      </c>
      <c r="S30" s="7">
        <f t="shared" si="15"/>
        <v>77</v>
      </c>
      <c r="T30" s="7">
        <f t="shared" si="16"/>
        <v>2</v>
      </c>
      <c r="U30" s="7">
        <f t="shared" si="17"/>
        <v>21</v>
      </c>
      <c r="V30" s="7">
        <f t="shared" si="18"/>
        <v>73</v>
      </c>
      <c r="W30" s="7">
        <f t="shared" si="19"/>
        <v>2</v>
      </c>
      <c r="X30" s="7">
        <f t="shared" si="20"/>
        <v>372</v>
      </c>
      <c r="Y30" s="7">
        <f t="shared" si="21"/>
        <v>44</v>
      </c>
      <c r="Z30" s="7">
        <f t="shared" si="22"/>
        <v>47</v>
      </c>
      <c r="AA30" s="7">
        <f t="shared" si="23"/>
        <v>0</v>
      </c>
      <c r="AB30" s="7">
        <f t="shared" si="24"/>
        <v>2</v>
      </c>
      <c r="AD30" s="1">
        <v>8</v>
      </c>
      <c r="AE30" s="1">
        <v>1</v>
      </c>
      <c r="AF30" s="1">
        <v>1</v>
      </c>
      <c r="AG30" s="1">
        <v>1</v>
      </c>
      <c r="AH30" s="1">
        <v>1</v>
      </c>
      <c r="AI30" s="1">
        <v>0</v>
      </c>
      <c r="AJ30" s="1">
        <v>1</v>
      </c>
      <c r="AK30" s="1">
        <v>0</v>
      </c>
      <c r="AL30" s="1">
        <v>0</v>
      </c>
      <c r="AM30" s="1">
        <v>1</v>
      </c>
      <c r="AN30" s="1">
        <v>1</v>
      </c>
      <c r="AO30" s="1">
        <v>1</v>
      </c>
      <c r="AP30" s="1">
        <v>1</v>
      </c>
      <c r="AQ30" s="1">
        <v>0</v>
      </c>
    </row>
    <row r="31" spans="1:43" hidden="1" x14ac:dyDescent="0.25">
      <c r="A31" s="1">
        <v>10</v>
      </c>
      <c r="B31" s="1">
        <v>19</v>
      </c>
      <c r="C31" s="7" t="str">
        <f t="shared" si="0"/>
        <v>e5</v>
      </c>
      <c r="D31" s="7" t="str">
        <f t="shared" si="1"/>
        <v>d8</v>
      </c>
      <c r="E31" s="7" t="str">
        <f t="shared" si="2"/>
        <v>11100101</v>
      </c>
      <c r="F31" s="7" t="str">
        <f t="shared" si="3"/>
        <v>11011000</v>
      </c>
      <c r="G31" s="7" t="str">
        <f t="shared" si="4"/>
        <v>00162747</v>
      </c>
      <c r="H31" s="7" t="str">
        <f t="shared" si="5"/>
        <v>00154005</v>
      </c>
      <c r="I31" s="7" t="str">
        <f t="shared" si="6"/>
        <v>00162730</v>
      </c>
      <c r="J31" s="7">
        <f t="shared" si="7"/>
        <v>229</v>
      </c>
      <c r="K31" s="7">
        <f t="shared" si="8"/>
        <v>216</v>
      </c>
      <c r="L31" s="7"/>
      <c r="M31" s="7">
        <f t="shared" si="9"/>
        <v>98</v>
      </c>
      <c r="N31" s="7">
        <f t="shared" si="10"/>
        <v>99</v>
      </c>
      <c r="O31" s="7">
        <f t="shared" si="11"/>
        <v>16</v>
      </c>
      <c r="P31" s="7">
        <f t="shared" si="12"/>
        <v>6</v>
      </c>
      <c r="Q31" s="7">
        <f t="shared" si="13"/>
        <v>12</v>
      </c>
      <c r="R31" s="7">
        <f t="shared" si="14"/>
        <v>62</v>
      </c>
      <c r="S31" s="7">
        <f t="shared" si="15"/>
        <v>27</v>
      </c>
      <c r="T31" s="7">
        <f t="shared" si="16"/>
        <v>15</v>
      </c>
      <c r="U31" s="7">
        <f t="shared" si="17"/>
        <v>154</v>
      </c>
      <c r="V31" s="7">
        <f t="shared" si="18"/>
        <v>0</v>
      </c>
      <c r="W31" s="7">
        <f t="shared" si="19"/>
        <v>16</v>
      </c>
      <c r="X31" s="7">
        <f t="shared" si="20"/>
        <v>137</v>
      </c>
      <c r="Y31" s="7">
        <f t="shared" si="21"/>
        <v>73</v>
      </c>
      <c r="Z31" s="7">
        <f t="shared" si="22"/>
        <v>22</v>
      </c>
      <c r="AA31" s="7">
        <f t="shared" si="23"/>
        <v>32</v>
      </c>
      <c r="AB31" s="7">
        <f t="shared" si="24"/>
        <v>45</v>
      </c>
      <c r="AD31" s="1">
        <v>9</v>
      </c>
      <c r="AE31" s="1">
        <v>0</v>
      </c>
      <c r="AF31" s="1">
        <v>1</v>
      </c>
      <c r="AG31" s="1">
        <v>0</v>
      </c>
      <c r="AH31" s="1">
        <v>0</v>
      </c>
      <c r="AI31" s="1">
        <v>1</v>
      </c>
      <c r="AJ31" s="1">
        <v>1</v>
      </c>
      <c r="AK31" s="1">
        <v>1</v>
      </c>
      <c r="AL31" s="1">
        <v>1</v>
      </c>
      <c r="AM31" s="1">
        <v>0</v>
      </c>
      <c r="AN31" s="1">
        <v>0</v>
      </c>
      <c r="AO31" s="1">
        <v>1</v>
      </c>
      <c r="AP31" s="1">
        <v>1</v>
      </c>
      <c r="AQ31" s="1">
        <v>1</v>
      </c>
    </row>
    <row r="32" spans="1:43" hidden="1" x14ac:dyDescent="0.25">
      <c r="A32" s="1">
        <v>11</v>
      </c>
      <c r="B32" s="1">
        <v>21</v>
      </c>
      <c r="C32" s="7" t="str">
        <f t="shared" si="0"/>
        <v>e7</v>
      </c>
      <c r="D32" s="7" t="str">
        <f t="shared" si="1"/>
        <v>05</v>
      </c>
      <c r="E32" s="7" t="str">
        <f t="shared" si="2"/>
        <v>11100111</v>
      </c>
      <c r="F32" s="7" t="str">
        <f t="shared" si="3"/>
        <v>00000101</v>
      </c>
      <c r="G32" s="7" t="str">
        <f t="shared" si="4"/>
        <v>00163557</v>
      </c>
      <c r="H32" s="7" t="str">
        <f t="shared" si="5"/>
        <v>00002500</v>
      </c>
      <c r="I32" s="7" t="str">
        <f t="shared" si="6"/>
        <v>00163405</v>
      </c>
      <c r="J32" s="7">
        <f t="shared" si="7"/>
        <v>231</v>
      </c>
      <c r="K32" s="7">
        <f t="shared" si="8"/>
        <v>5</v>
      </c>
      <c r="L32" s="7"/>
      <c r="M32" s="7">
        <f t="shared" si="9"/>
        <v>98</v>
      </c>
      <c r="N32" s="7">
        <f t="shared" si="10"/>
        <v>99</v>
      </c>
      <c r="O32" s="7">
        <f t="shared" si="11"/>
        <v>16</v>
      </c>
      <c r="P32" s="7">
        <f t="shared" si="12"/>
        <v>1</v>
      </c>
      <c r="Q32" s="7">
        <f t="shared" si="13"/>
        <v>2</v>
      </c>
      <c r="R32" s="7">
        <f t="shared" si="14"/>
        <v>63</v>
      </c>
      <c r="S32" s="7">
        <f t="shared" si="15"/>
        <v>35</v>
      </c>
      <c r="T32" s="7">
        <f t="shared" si="16"/>
        <v>0</v>
      </c>
      <c r="U32" s="7">
        <f t="shared" si="17"/>
        <v>2</v>
      </c>
      <c r="V32" s="7">
        <f t="shared" si="18"/>
        <v>50</v>
      </c>
      <c r="W32" s="7">
        <f t="shared" si="19"/>
        <v>16</v>
      </c>
      <c r="X32" s="7">
        <f t="shared" si="20"/>
        <v>170</v>
      </c>
      <c r="Y32" s="7">
        <f t="shared" si="21"/>
        <v>40</v>
      </c>
      <c r="Z32" s="7">
        <f t="shared" si="22"/>
        <v>23</v>
      </c>
      <c r="AA32" s="7">
        <f t="shared" si="23"/>
        <v>0</v>
      </c>
      <c r="AB32" s="7">
        <f t="shared" si="24"/>
        <v>36</v>
      </c>
      <c r="AD32" s="1">
        <v>10</v>
      </c>
      <c r="AE32" s="1">
        <v>1</v>
      </c>
      <c r="AF32" s="1">
        <v>1</v>
      </c>
      <c r="AG32" s="1">
        <v>1</v>
      </c>
      <c r="AH32" s="1">
        <v>1</v>
      </c>
      <c r="AI32" s="1">
        <v>1</v>
      </c>
      <c r="AJ32" s="1">
        <v>1</v>
      </c>
      <c r="AK32" s="1">
        <v>1</v>
      </c>
      <c r="AL32" s="1">
        <v>0</v>
      </c>
      <c r="AM32" s="1">
        <v>1</v>
      </c>
      <c r="AN32" s="1">
        <v>0</v>
      </c>
      <c r="AO32" s="1">
        <v>1</v>
      </c>
      <c r="AP32" s="1">
        <v>1</v>
      </c>
      <c r="AQ32" s="1">
        <v>0</v>
      </c>
    </row>
    <row r="33" spans="1:43" hidden="1" x14ac:dyDescent="0.25">
      <c r="A33" s="1">
        <v>12</v>
      </c>
      <c r="B33" s="1">
        <v>23</v>
      </c>
      <c r="C33" s="7" t="str">
        <f t="shared" si="0"/>
        <v>6f</v>
      </c>
      <c r="D33" s="7" t="str">
        <f t="shared" si="1"/>
        <v>40</v>
      </c>
      <c r="E33" s="7" t="str">
        <f t="shared" si="2"/>
        <v>01101111</v>
      </c>
      <c r="F33" s="7" t="str">
        <f t="shared" si="3"/>
        <v>01000000</v>
      </c>
      <c r="G33" s="7" t="str">
        <f t="shared" si="4"/>
        <v>00067512</v>
      </c>
      <c r="H33" s="7" t="str">
        <f t="shared" si="5"/>
        <v>00040137</v>
      </c>
      <c r="I33" s="7" t="str">
        <f t="shared" si="6"/>
        <v>00067500</v>
      </c>
      <c r="J33" s="7">
        <f t="shared" si="7"/>
        <v>111</v>
      </c>
      <c r="K33" s="7">
        <f t="shared" si="8"/>
        <v>64</v>
      </c>
      <c r="L33" s="7"/>
      <c r="M33" s="7">
        <f t="shared" si="9"/>
        <v>42</v>
      </c>
      <c r="N33" s="7">
        <f t="shared" si="10"/>
        <v>121</v>
      </c>
      <c r="O33" s="7">
        <f t="shared" si="11"/>
        <v>6</v>
      </c>
      <c r="P33" s="7">
        <f t="shared" si="12"/>
        <v>0</v>
      </c>
      <c r="Q33" s="7">
        <f t="shared" si="13"/>
        <v>0</v>
      </c>
      <c r="R33" s="7">
        <f t="shared" si="14"/>
        <v>67</v>
      </c>
      <c r="S33" s="7">
        <f t="shared" si="15"/>
        <v>75</v>
      </c>
      <c r="T33" s="7">
        <f t="shared" si="16"/>
        <v>4</v>
      </c>
      <c r="U33" s="7">
        <f t="shared" si="17"/>
        <v>40</v>
      </c>
      <c r="V33" s="7">
        <f t="shared" si="18"/>
        <v>13</v>
      </c>
      <c r="W33" s="7">
        <f t="shared" si="19"/>
        <v>6</v>
      </c>
      <c r="X33" s="7">
        <f t="shared" si="20"/>
        <v>375</v>
      </c>
      <c r="Y33" s="7">
        <f t="shared" si="21"/>
        <v>50</v>
      </c>
      <c r="Z33" s="7">
        <f t="shared" si="22"/>
        <v>11</v>
      </c>
      <c r="AA33" s="7">
        <f t="shared" si="23"/>
        <v>28</v>
      </c>
      <c r="AB33" s="7">
        <f t="shared" si="24"/>
        <v>75</v>
      </c>
      <c r="AD33" s="1">
        <v>11</v>
      </c>
      <c r="AE33" s="1">
        <v>0</v>
      </c>
      <c r="AF33" s="1">
        <v>1</v>
      </c>
      <c r="AG33" s="1">
        <v>0</v>
      </c>
      <c r="AH33" s="1">
        <v>1</v>
      </c>
      <c r="AI33" s="1">
        <v>1</v>
      </c>
      <c r="AJ33" s="1">
        <v>1</v>
      </c>
      <c r="AK33" s="1">
        <v>0</v>
      </c>
      <c r="AL33" s="1">
        <v>0</v>
      </c>
      <c r="AM33" s="1">
        <v>1</v>
      </c>
      <c r="AN33" s="1">
        <v>1</v>
      </c>
      <c r="AO33" s="1">
        <v>0</v>
      </c>
      <c r="AP33" s="1">
        <v>0</v>
      </c>
      <c r="AQ33" s="1">
        <v>1</v>
      </c>
    </row>
    <row r="34" spans="1:43" hidden="1" x14ac:dyDescent="0.25">
      <c r="A34" s="1">
        <v>13</v>
      </c>
      <c r="B34" s="1">
        <v>25</v>
      </c>
      <c r="C34" s="7" t="str">
        <f t="shared" si="0"/>
        <v>4a</v>
      </c>
      <c r="D34" s="7" t="str">
        <f t="shared" si="1"/>
        <v>5f</v>
      </c>
      <c r="E34" s="7" t="str">
        <f t="shared" ref="E34:E37" si="25">HEX2BIN(C34,8)</f>
        <v>01001010</v>
      </c>
      <c r="F34" s="7" t="str">
        <f t="shared" ref="F34:F37" si="26">HEX2BIN(D34,8)</f>
        <v>01011111</v>
      </c>
      <c r="G34" s="7" t="str">
        <f t="shared" ref="G34:G37" si="27">HEX2OCT(C34&amp;C35,8)</f>
        <v>00045270</v>
      </c>
      <c r="H34" s="7" t="str">
        <f t="shared" ref="H34:H37" si="28">HEX2OCT(D34&amp;D35,8)</f>
        <v>00057642</v>
      </c>
      <c r="I34" s="7" t="str">
        <f t="shared" ref="I34:I37" si="29">HEX2OCT(C34&amp;D34,8)</f>
        <v>00045137</v>
      </c>
      <c r="J34" s="7">
        <f t="shared" ref="J34:J37" si="30">HEX2DEC(C34)</f>
        <v>74</v>
      </c>
      <c r="K34" s="7">
        <f t="shared" ref="K34:K37" si="31">HEX2DEC(D34)</f>
        <v>95</v>
      </c>
      <c r="L34" s="7"/>
      <c r="M34" s="7">
        <f t="shared" ref="M34:M37" si="32">BIN2DEC(MID(E34,1,4))*7</f>
        <v>28</v>
      </c>
      <c r="N34" s="7">
        <f t="shared" ref="N34:N37" si="33">BIN2DEC(MID(E34,3,4))*11</f>
        <v>22</v>
      </c>
      <c r="O34" s="7">
        <f t="shared" ref="O34:O37" si="34">VALUE(LEFT(G34,4))</f>
        <v>4</v>
      </c>
      <c r="P34" s="7">
        <f t="shared" ref="P34:P37" si="35">BIN2DEC(MID(F34,3,4))</f>
        <v>7</v>
      </c>
      <c r="Q34" s="7">
        <f t="shared" ref="Q34:Q37" si="36">BIN2DEC(MID(F34,4,4))</f>
        <v>15</v>
      </c>
      <c r="R34" s="7">
        <f t="shared" ref="R34:R37" si="37">VALUE(MID(G34,4,2))</f>
        <v>45</v>
      </c>
      <c r="S34" s="7">
        <f t="shared" ref="S34:S37" si="38">VALUE(MID(G34,5,2))</f>
        <v>52</v>
      </c>
      <c r="T34" s="7">
        <f t="shared" ref="T34:T37" si="39">VALUE(MID(H34,1,4))</f>
        <v>5</v>
      </c>
      <c r="U34" s="7">
        <f t="shared" ref="U34:U37" si="40">VALUE(MID(H34,3,3))</f>
        <v>57</v>
      </c>
      <c r="V34" s="7">
        <f t="shared" ref="V34:V37" si="41">VALUE(MID(H34,6,2))</f>
        <v>64</v>
      </c>
      <c r="W34" s="7">
        <f t="shared" ref="W34:W37" si="42">VALUE(MID(I34,1,4))</f>
        <v>4</v>
      </c>
      <c r="X34" s="7">
        <f t="shared" ref="X34:X37" si="43">_xlfn.CEILING.MATH(VALUE(MID(I34,5,3))/2,1)</f>
        <v>257</v>
      </c>
      <c r="Y34" s="7">
        <f t="shared" ref="Y34:Y37" si="44">VALUE(MID(I34,6,2))</f>
        <v>13</v>
      </c>
      <c r="Z34" s="7">
        <f t="shared" ref="Z34:Z37" si="45">VALUE(MID(J34,1,2))</f>
        <v>74</v>
      </c>
      <c r="AA34" s="7">
        <f t="shared" ref="AA34:AA37" si="46">VALUE(MID(K34*2,2,2))</f>
        <v>90</v>
      </c>
      <c r="AB34" s="7">
        <f t="shared" ref="AB34:AB37" si="47">VALUE(MID(J34+K34,2,2))</f>
        <v>69</v>
      </c>
      <c r="AD34" s="1">
        <v>12</v>
      </c>
      <c r="AE34" s="1">
        <v>0</v>
      </c>
      <c r="AF34" s="1">
        <v>0</v>
      </c>
      <c r="AG34" s="1">
        <v>1</v>
      </c>
      <c r="AH34" s="1">
        <v>0</v>
      </c>
      <c r="AI34" s="1">
        <v>1</v>
      </c>
      <c r="AJ34" s="1">
        <v>1</v>
      </c>
      <c r="AK34" s="1">
        <v>1</v>
      </c>
      <c r="AL34" s="1">
        <v>0</v>
      </c>
      <c r="AM34" s="1">
        <v>1</v>
      </c>
      <c r="AN34" s="1">
        <v>0</v>
      </c>
      <c r="AO34" s="1">
        <v>1</v>
      </c>
      <c r="AP34" s="1">
        <v>0</v>
      </c>
      <c r="AQ34" s="1">
        <v>1</v>
      </c>
    </row>
    <row r="35" spans="1:43" hidden="1" x14ac:dyDescent="0.25">
      <c r="A35" s="1">
        <v>14</v>
      </c>
      <c r="B35" s="1">
        <v>27</v>
      </c>
      <c r="C35" s="7" t="str">
        <f t="shared" si="0"/>
        <v>b8</v>
      </c>
      <c r="D35" s="7" t="str">
        <f t="shared" si="1"/>
        <v>a2</v>
      </c>
      <c r="E35" s="7" t="str">
        <f t="shared" si="25"/>
        <v>10111000</v>
      </c>
      <c r="F35" s="7" t="str">
        <f t="shared" si="26"/>
        <v>10100010</v>
      </c>
      <c r="G35" s="7" t="str">
        <f t="shared" si="27"/>
        <v>00134015</v>
      </c>
      <c r="H35" s="7" t="str">
        <f t="shared" si="28"/>
        <v>00121320</v>
      </c>
      <c r="I35" s="7" t="str">
        <f t="shared" si="29"/>
        <v>00134242</v>
      </c>
      <c r="J35" s="7">
        <f t="shared" si="30"/>
        <v>184</v>
      </c>
      <c r="K35" s="7">
        <f t="shared" si="31"/>
        <v>162</v>
      </c>
      <c r="L35" s="7"/>
      <c r="M35" s="7">
        <f t="shared" si="32"/>
        <v>77</v>
      </c>
      <c r="N35" s="7">
        <f t="shared" si="33"/>
        <v>154</v>
      </c>
      <c r="O35" s="7">
        <f t="shared" si="34"/>
        <v>13</v>
      </c>
      <c r="P35" s="7">
        <f t="shared" si="35"/>
        <v>8</v>
      </c>
      <c r="Q35" s="7">
        <f t="shared" si="36"/>
        <v>1</v>
      </c>
      <c r="R35" s="7">
        <f t="shared" si="37"/>
        <v>34</v>
      </c>
      <c r="S35" s="7">
        <f t="shared" si="38"/>
        <v>40</v>
      </c>
      <c r="T35" s="7">
        <f t="shared" si="39"/>
        <v>12</v>
      </c>
      <c r="U35" s="7">
        <f t="shared" si="40"/>
        <v>121</v>
      </c>
      <c r="V35" s="7">
        <f t="shared" si="41"/>
        <v>32</v>
      </c>
      <c r="W35" s="7">
        <f t="shared" si="42"/>
        <v>13</v>
      </c>
      <c r="X35" s="7">
        <f t="shared" si="43"/>
        <v>212</v>
      </c>
      <c r="Y35" s="7">
        <f t="shared" si="44"/>
        <v>24</v>
      </c>
      <c r="Z35" s="7">
        <f t="shared" si="45"/>
        <v>18</v>
      </c>
      <c r="AA35" s="7">
        <f t="shared" si="46"/>
        <v>24</v>
      </c>
      <c r="AB35" s="7">
        <f t="shared" si="47"/>
        <v>46</v>
      </c>
    </row>
    <row r="36" spans="1:43" hidden="1" x14ac:dyDescent="0.25">
      <c r="A36" s="1">
        <v>15</v>
      </c>
      <c r="B36" s="1">
        <v>29</v>
      </c>
      <c r="C36" s="7" t="str">
        <f t="shared" si="0"/>
        <v>0d</v>
      </c>
      <c r="D36" s="7" t="str">
        <f t="shared" si="1"/>
        <v>d0</v>
      </c>
      <c r="E36" s="7" t="str">
        <f t="shared" si="25"/>
        <v>00001101</v>
      </c>
      <c r="F36" s="7" t="str">
        <f t="shared" si="26"/>
        <v>11010000</v>
      </c>
      <c r="G36" s="7" t="str">
        <f t="shared" si="27"/>
        <v>00006543</v>
      </c>
      <c r="H36" s="7" t="str">
        <f t="shared" si="28"/>
        <v>00150117</v>
      </c>
      <c r="I36" s="7" t="str">
        <f t="shared" si="29"/>
        <v>00006720</v>
      </c>
      <c r="J36" s="7">
        <f t="shared" si="30"/>
        <v>13</v>
      </c>
      <c r="K36" s="7">
        <f t="shared" si="31"/>
        <v>208</v>
      </c>
      <c r="L36" s="7"/>
      <c r="M36" s="7">
        <f t="shared" si="32"/>
        <v>0</v>
      </c>
      <c r="N36" s="7">
        <f t="shared" si="33"/>
        <v>33</v>
      </c>
      <c r="O36" s="7">
        <f t="shared" si="34"/>
        <v>0</v>
      </c>
      <c r="P36" s="7">
        <f t="shared" si="35"/>
        <v>4</v>
      </c>
      <c r="Q36" s="7">
        <f t="shared" si="36"/>
        <v>8</v>
      </c>
      <c r="R36" s="7">
        <f t="shared" si="37"/>
        <v>6</v>
      </c>
      <c r="S36" s="7">
        <f t="shared" si="38"/>
        <v>65</v>
      </c>
      <c r="T36" s="7">
        <f t="shared" si="39"/>
        <v>15</v>
      </c>
      <c r="U36" s="7">
        <f t="shared" si="40"/>
        <v>150</v>
      </c>
      <c r="V36" s="7">
        <f t="shared" si="41"/>
        <v>11</v>
      </c>
      <c r="W36" s="7">
        <f t="shared" si="42"/>
        <v>0</v>
      </c>
      <c r="X36" s="7">
        <f t="shared" si="43"/>
        <v>336</v>
      </c>
      <c r="Y36" s="7">
        <f t="shared" si="44"/>
        <v>72</v>
      </c>
      <c r="Z36" s="7">
        <f t="shared" si="45"/>
        <v>13</v>
      </c>
      <c r="AA36" s="7">
        <f t="shared" si="46"/>
        <v>16</v>
      </c>
      <c r="AB36" s="7">
        <f t="shared" si="47"/>
        <v>21</v>
      </c>
    </row>
    <row r="37" spans="1:43" hidden="1" x14ac:dyDescent="0.25">
      <c r="A37" s="1">
        <v>16</v>
      </c>
      <c r="B37" s="1">
        <v>31</v>
      </c>
      <c r="C37" s="7" t="str">
        <f t="shared" si="0"/>
        <v>63</v>
      </c>
      <c r="D37" s="7" t="str">
        <f t="shared" si="1"/>
        <v>4f</v>
      </c>
      <c r="E37" s="7" t="str">
        <f t="shared" si="25"/>
        <v>01100011</v>
      </c>
      <c r="F37" s="7" t="str">
        <f t="shared" si="26"/>
        <v>01001111</v>
      </c>
      <c r="G37" s="7" t="str">
        <f t="shared" si="27"/>
        <v>00061761</v>
      </c>
      <c r="H37" s="7" t="str">
        <f t="shared" si="28"/>
        <v>00047443</v>
      </c>
      <c r="I37" s="7" t="str">
        <f t="shared" si="29"/>
        <v>00061517</v>
      </c>
      <c r="J37" s="7">
        <f t="shared" si="30"/>
        <v>99</v>
      </c>
      <c r="K37" s="7">
        <f t="shared" si="31"/>
        <v>79</v>
      </c>
      <c r="L37" s="7"/>
      <c r="M37" s="7">
        <f t="shared" si="32"/>
        <v>42</v>
      </c>
      <c r="N37" s="7">
        <f t="shared" si="33"/>
        <v>88</v>
      </c>
      <c r="O37" s="7">
        <f t="shared" si="34"/>
        <v>6</v>
      </c>
      <c r="P37" s="7">
        <f t="shared" si="35"/>
        <v>3</v>
      </c>
      <c r="Q37" s="7">
        <f t="shared" si="36"/>
        <v>7</v>
      </c>
      <c r="R37" s="7">
        <f t="shared" si="37"/>
        <v>61</v>
      </c>
      <c r="S37" s="7">
        <f t="shared" si="38"/>
        <v>17</v>
      </c>
      <c r="T37" s="7">
        <f t="shared" si="39"/>
        <v>4</v>
      </c>
      <c r="U37" s="7">
        <f t="shared" si="40"/>
        <v>47</v>
      </c>
      <c r="V37" s="7">
        <f t="shared" si="41"/>
        <v>44</v>
      </c>
      <c r="W37" s="7">
        <f t="shared" si="42"/>
        <v>6</v>
      </c>
      <c r="X37" s="7">
        <f t="shared" si="43"/>
        <v>76</v>
      </c>
      <c r="Y37" s="7">
        <f t="shared" si="44"/>
        <v>51</v>
      </c>
      <c r="Z37" s="7">
        <f t="shared" si="45"/>
        <v>99</v>
      </c>
      <c r="AA37" s="7">
        <f t="shared" si="46"/>
        <v>58</v>
      </c>
      <c r="AB37" s="7">
        <f t="shared" si="47"/>
        <v>78</v>
      </c>
    </row>
    <row r="38" spans="1:43" hidden="1" x14ac:dyDescent="0.25">
      <c r="C38" s="7" t="str">
        <f>C22</f>
        <v>f1</v>
      </c>
      <c r="D38" s="7" t="str">
        <f>D22</f>
        <v>23</v>
      </c>
      <c r="E38" s="7"/>
      <c r="F38" s="7"/>
      <c r="H38" s="7"/>
      <c r="I38" s="7"/>
      <c r="J38" s="7"/>
      <c r="K38" s="7"/>
      <c r="L38" s="7"/>
    </row>
    <row r="39" spans="1:43" hidden="1" x14ac:dyDescent="0.25">
      <c r="C39" s="7"/>
      <c r="D39" s="7"/>
      <c r="I39" s="1" t="s">
        <v>2</v>
      </c>
      <c r="K39" s="1" t="s">
        <v>3</v>
      </c>
    </row>
    <row r="40" spans="1:43" hidden="1" x14ac:dyDescent="0.25">
      <c r="C40" s="7"/>
      <c r="D40" s="7" t="str">
        <f>RIGHT(C22,1)&amp;LEFT(D37,1)</f>
        <v>14</v>
      </c>
      <c r="E40" s="1">
        <f>HEX2DEC(D40)</f>
        <v>20</v>
      </c>
      <c r="F40" s="1">
        <f>_xlfn.FLOOR.MATH(E40/3,1)</f>
        <v>6</v>
      </c>
      <c r="G40" s="1">
        <f>(-1)^F40</f>
        <v>1</v>
      </c>
      <c r="J40" s="1">
        <f>MOD(E40,3)+1</f>
        <v>3</v>
      </c>
      <c r="K40" s="1">
        <f>J40</f>
        <v>3</v>
      </c>
      <c r="M40" s="1">
        <v>1</v>
      </c>
      <c r="N40" s="1">
        <f>N24</f>
        <v>165</v>
      </c>
      <c r="O40" s="1">
        <f>S28</f>
        <v>36</v>
      </c>
      <c r="P40" s="1">
        <f>ROUND(AVERAGE(N40:O40),0)</f>
        <v>101</v>
      </c>
      <c r="Q40" s="1">
        <v>80</v>
      </c>
      <c r="R40" s="1">
        <f>ROUND(AVERAGE(P40:Q40),0)</f>
        <v>91</v>
      </c>
    </row>
    <row r="41" spans="1:43" hidden="1" x14ac:dyDescent="0.25">
      <c r="C41" s="7"/>
      <c r="D41" s="7" t="str">
        <f>RIGHT(D22,1)&amp;LEFT(C37,1)</f>
        <v>36</v>
      </c>
      <c r="E41" s="1">
        <f t="shared" ref="E41:E43" si="48">HEX2DEC(D41)</f>
        <v>54</v>
      </c>
      <c r="F41" s="1">
        <f>_xlfn.FLOOR.MATH(E41/5,1)</f>
        <v>10</v>
      </c>
      <c r="G41" s="1">
        <f>(-1)^F41</f>
        <v>1</v>
      </c>
      <c r="J41" s="1">
        <f>MOD(E41,3)+1</f>
        <v>1</v>
      </c>
      <c r="K41" s="1">
        <f>MIN(K40+J41*2,3+J41)</f>
        <v>4</v>
      </c>
      <c r="M41" s="1">
        <v>2</v>
      </c>
      <c r="N41" s="1">
        <f>Q23</f>
        <v>9</v>
      </c>
      <c r="O41" s="1">
        <f>O26</f>
        <v>11</v>
      </c>
      <c r="P41" s="1">
        <f t="shared" ref="P41:P44" si="49">ROUND(AVERAGE(N41:O41),0)</f>
        <v>10</v>
      </c>
      <c r="Q41" s="1">
        <v>30</v>
      </c>
      <c r="R41" s="1">
        <f t="shared" ref="R41:R44" si="50">ROUND(AVERAGE(P41:Q41),0)</f>
        <v>20</v>
      </c>
    </row>
    <row r="42" spans="1:43" hidden="1" x14ac:dyDescent="0.25">
      <c r="C42" s="7"/>
      <c r="D42" s="7" t="str">
        <f>RIGHT(D23,1)&amp;LEFT(C36,1)</f>
        <v>30</v>
      </c>
      <c r="E42" s="1">
        <f t="shared" si="48"/>
        <v>48</v>
      </c>
      <c r="F42" s="1">
        <f>_xlfn.FLOOR.MATH(E42/7,1)</f>
        <v>6</v>
      </c>
      <c r="G42" s="1">
        <f>MOD(F42,2)</f>
        <v>0</v>
      </c>
      <c r="H42" s="1">
        <f>IF(G44,G42,IF(H44,H44,G41))</f>
        <v>2</v>
      </c>
      <c r="I42" s="1">
        <f>G40*H42</f>
        <v>2</v>
      </c>
      <c r="J42" s="1">
        <f>MOD(E42,3)+1</f>
        <v>1</v>
      </c>
      <c r="K42" s="1">
        <f>MAX(K41+J42,6+J42)</f>
        <v>7</v>
      </c>
      <c r="M42" s="1">
        <v>3</v>
      </c>
      <c r="N42" s="1">
        <f>U23</f>
        <v>171</v>
      </c>
      <c r="O42" s="1">
        <f>X30</f>
        <v>372</v>
      </c>
      <c r="P42" s="1">
        <f t="shared" si="49"/>
        <v>272</v>
      </c>
      <c r="Q42" s="1">
        <v>220</v>
      </c>
      <c r="R42" s="1">
        <f t="shared" si="50"/>
        <v>246</v>
      </c>
    </row>
    <row r="43" spans="1:43" hidden="1" x14ac:dyDescent="0.25">
      <c r="C43" s="7"/>
      <c r="D43" s="7" t="str">
        <f>RIGHT(C24,1)&amp;LEFT(D35,1)</f>
        <v>da</v>
      </c>
      <c r="E43" s="1">
        <f t="shared" si="48"/>
        <v>218</v>
      </c>
      <c r="F43" s="1">
        <f>_xlfn.FLOOR.MATH(E43/9,1)</f>
        <v>24</v>
      </c>
      <c r="G43" s="1">
        <f>MOD(F43,2)</f>
        <v>0</v>
      </c>
      <c r="H43" s="1">
        <f>IF(G44,G43,IF(H44&lt;0,H44,G40))</f>
        <v>1</v>
      </c>
      <c r="I43" s="1">
        <f>G41*H43</f>
        <v>1</v>
      </c>
      <c r="J43" s="1">
        <f>MOD(E43,3)+1</f>
        <v>3</v>
      </c>
      <c r="K43" s="1">
        <f>MIN(MAX(K42+J43,9+J43),12)</f>
        <v>12</v>
      </c>
      <c r="M43" s="1">
        <v>4</v>
      </c>
      <c r="N43" s="1">
        <f>N35</f>
        <v>154</v>
      </c>
      <c r="O43" s="1">
        <f>Z30</f>
        <v>47</v>
      </c>
      <c r="P43" s="1">
        <f t="shared" si="49"/>
        <v>101</v>
      </c>
      <c r="Q43" s="1">
        <v>10</v>
      </c>
      <c r="R43" s="1">
        <f t="shared" si="50"/>
        <v>56</v>
      </c>
    </row>
    <row r="44" spans="1:43" hidden="1" x14ac:dyDescent="0.25">
      <c r="G44" s="1">
        <f>SUM(G42:G43)</f>
        <v>0</v>
      </c>
      <c r="H44" s="1">
        <f>SUM(G40:G41)</f>
        <v>2</v>
      </c>
      <c r="M44" s="1">
        <v>5</v>
      </c>
      <c r="N44" s="1">
        <f>AA28</f>
        <v>4</v>
      </c>
      <c r="O44" s="1">
        <f>AB27</f>
        <v>21</v>
      </c>
      <c r="P44" s="1">
        <f t="shared" si="49"/>
        <v>13</v>
      </c>
      <c r="Q44" s="1">
        <v>110</v>
      </c>
      <c r="R44" s="1">
        <f t="shared" si="50"/>
        <v>62</v>
      </c>
    </row>
    <row r="45" spans="1:43" hidden="1" x14ac:dyDescent="0.25"/>
    <row r="46" spans="1:43" hidden="1" x14ac:dyDescent="0.25"/>
    <row r="47" spans="1:43" hidden="1" x14ac:dyDescent="0.25"/>
    <row r="48" spans="1:43" hidden="1" x14ac:dyDescent="0.25">
      <c r="D48" s="2"/>
      <c r="E48" s="2"/>
      <c r="F48" s="8">
        <v>-2</v>
      </c>
      <c r="G48" s="8">
        <v>-1</v>
      </c>
      <c r="H48" s="8">
        <v>0</v>
      </c>
      <c r="I48" s="8">
        <v>1</v>
      </c>
      <c r="J48" s="8">
        <v>2</v>
      </c>
      <c r="K48" s="8">
        <v>3</v>
      </c>
      <c r="L48" s="8">
        <v>4</v>
      </c>
      <c r="M48" s="8">
        <v>5</v>
      </c>
      <c r="N48" s="8">
        <v>6</v>
      </c>
      <c r="O48" s="8">
        <v>7</v>
      </c>
      <c r="P48" s="8">
        <v>8</v>
      </c>
      <c r="Q48" s="8">
        <v>9</v>
      </c>
      <c r="R48" s="8">
        <v>10</v>
      </c>
      <c r="S48" s="8">
        <v>11</v>
      </c>
      <c r="T48" s="8">
        <v>12</v>
      </c>
      <c r="U48" s="8">
        <v>13</v>
      </c>
      <c r="V48" s="8">
        <v>14</v>
      </c>
      <c r="W48" s="2"/>
    </row>
    <row r="49" spans="4:23" hidden="1" x14ac:dyDescent="0.25">
      <c r="D49" s="2"/>
      <c r="E49" s="8">
        <v>-2</v>
      </c>
      <c r="F49" s="9">
        <v>1</v>
      </c>
      <c r="G49" s="9">
        <v>1</v>
      </c>
      <c r="H49" s="9">
        <v>1</v>
      </c>
      <c r="I49" s="9">
        <v>1</v>
      </c>
      <c r="J49" s="9">
        <v>1</v>
      </c>
      <c r="K49" s="9">
        <v>1</v>
      </c>
      <c r="L49" s="9">
        <v>1</v>
      </c>
      <c r="M49" s="9">
        <v>1</v>
      </c>
      <c r="N49" s="9">
        <v>1</v>
      </c>
      <c r="O49" s="10">
        <v>4</v>
      </c>
      <c r="P49" s="10">
        <v>4</v>
      </c>
      <c r="Q49" s="10">
        <v>4</v>
      </c>
      <c r="R49" s="10">
        <v>4</v>
      </c>
      <c r="S49" s="10">
        <v>4</v>
      </c>
      <c r="T49" s="10">
        <v>4</v>
      </c>
      <c r="U49" s="10">
        <v>4</v>
      </c>
      <c r="V49" s="10">
        <v>4</v>
      </c>
      <c r="W49" s="2"/>
    </row>
    <row r="50" spans="4:23" hidden="1" x14ac:dyDescent="0.25">
      <c r="D50" s="2"/>
      <c r="E50" s="8">
        <v>-1</v>
      </c>
      <c r="F50" s="9">
        <v>1</v>
      </c>
      <c r="G50" s="9">
        <v>1</v>
      </c>
      <c r="H50" s="9">
        <v>1</v>
      </c>
      <c r="I50" s="9">
        <v>1</v>
      </c>
      <c r="J50" s="9">
        <v>1</v>
      </c>
      <c r="K50" s="9">
        <v>1</v>
      </c>
      <c r="L50" s="9">
        <v>1</v>
      </c>
      <c r="M50" s="9">
        <v>1</v>
      </c>
      <c r="N50" s="9">
        <v>1</v>
      </c>
      <c r="O50" s="10">
        <v>4</v>
      </c>
      <c r="P50" s="10">
        <v>4</v>
      </c>
      <c r="Q50" s="10">
        <v>4</v>
      </c>
      <c r="R50" s="10">
        <v>4</v>
      </c>
      <c r="S50" s="10">
        <v>4</v>
      </c>
      <c r="T50" s="10">
        <v>4</v>
      </c>
      <c r="U50" s="10">
        <v>4</v>
      </c>
      <c r="V50" s="10">
        <v>4</v>
      </c>
      <c r="W50" s="2"/>
    </row>
    <row r="51" spans="4:23" hidden="1" x14ac:dyDescent="0.25">
      <c r="D51" s="2"/>
      <c r="E51" s="8">
        <v>0</v>
      </c>
      <c r="F51" s="9">
        <v>1</v>
      </c>
      <c r="G51" s="9">
        <v>1</v>
      </c>
      <c r="H51" s="9">
        <v>1</v>
      </c>
      <c r="I51" s="9">
        <v>1</v>
      </c>
      <c r="J51" s="9">
        <v>1</v>
      </c>
      <c r="K51" s="9">
        <v>1</v>
      </c>
      <c r="L51" s="9">
        <v>1</v>
      </c>
      <c r="M51" s="9">
        <v>1</v>
      </c>
      <c r="N51" s="9">
        <v>1</v>
      </c>
      <c r="O51" s="10">
        <v>4</v>
      </c>
      <c r="P51" s="10">
        <v>4</v>
      </c>
      <c r="Q51" s="10">
        <v>4</v>
      </c>
      <c r="R51" s="10">
        <v>4</v>
      </c>
      <c r="S51" s="10">
        <v>4</v>
      </c>
      <c r="T51" s="10">
        <v>4</v>
      </c>
      <c r="U51" s="10">
        <v>4</v>
      </c>
      <c r="V51" s="10">
        <v>4</v>
      </c>
      <c r="W51" s="2"/>
    </row>
    <row r="52" spans="4:23" hidden="1" x14ac:dyDescent="0.25">
      <c r="D52" s="2"/>
      <c r="E52" s="8">
        <v>1</v>
      </c>
      <c r="F52" s="9">
        <v>1</v>
      </c>
      <c r="G52" s="9">
        <v>1</v>
      </c>
      <c r="H52" s="9">
        <v>1</v>
      </c>
      <c r="I52" s="9">
        <v>1</v>
      </c>
      <c r="J52" s="9">
        <v>1</v>
      </c>
      <c r="K52" s="9">
        <v>1</v>
      </c>
      <c r="L52" s="9">
        <v>1</v>
      </c>
      <c r="M52" s="9">
        <v>1</v>
      </c>
      <c r="N52" s="9">
        <v>1</v>
      </c>
      <c r="O52" s="10">
        <v>4</v>
      </c>
      <c r="P52" s="10">
        <v>4</v>
      </c>
      <c r="Q52" s="10">
        <v>4</v>
      </c>
      <c r="R52" s="10">
        <v>4</v>
      </c>
      <c r="S52" s="10">
        <v>4</v>
      </c>
      <c r="T52" s="10">
        <v>4</v>
      </c>
      <c r="U52" s="10">
        <v>4</v>
      </c>
      <c r="V52" s="10">
        <v>4</v>
      </c>
      <c r="W52" s="2"/>
    </row>
    <row r="53" spans="4:23" hidden="1" x14ac:dyDescent="0.25">
      <c r="D53" s="2"/>
      <c r="E53" s="8">
        <v>2</v>
      </c>
      <c r="F53" s="9">
        <v>1</v>
      </c>
      <c r="G53" s="9">
        <v>1</v>
      </c>
      <c r="H53" s="9">
        <v>1</v>
      </c>
      <c r="I53" s="9">
        <v>1</v>
      </c>
      <c r="J53" s="9">
        <v>1</v>
      </c>
      <c r="K53" s="9">
        <v>1</v>
      </c>
      <c r="L53" s="9">
        <v>1</v>
      </c>
      <c r="M53" s="9">
        <v>1</v>
      </c>
      <c r="N53" s="11">
        <v>3</v>
      </c>
      <c r="O53" s="10">
        <v>4</v>
      </c>
      <c r="P53" s="10">
        <v>4</v>
      </c>
      <c r="Q53" s="10">
        <v>4</v>
      </c>
      <c r="R53" s="10">
        <v>4</v>
      </c>
      <c r="S53" s="10">
        <v>4</v>
      </c>
      <c r="T53" s="10">
        <v>4</v>
      </c>
      <c r="U53" s="10">
        <v>4</v>
      </c>
      <c r="V53" s="10">
        <v>4</v>
      </c>
      <c r="W53" s="2"/>
    </row>
    <row r="54" spans="4:23" hidden="1" x14ac:dyDescent="0.25">
      <c r="D54" s="2"/>
      <c r="E54" s="8">
        <v>3</v>
      </c>
      <c r="F54" s="9">
        <v>1</v>
      </c>
      <c r="G54" s="9">
        <v>1</v>
      </c>
      <c r="H54" s="9">
        <v>1</v>
      </c>
      <c r="I54" s="9">
        <v>1</v>
      </c>
      <c r="J54" s="9">
        <v>1</v>
      </c>
      <c r="K54" s="9">
        <v>1</v>
      </c>
      <c r="L54" s="9">
        <v>1</v>
      </c>
      <c r="M54" s="11">
        <v>3</v>
      </c>
      <c r="N54" s="11">
        <v>3</v>
      </c>
      <c r="O54" s="11">
        <v>3</v>
      </c>
      <c r="P54" s="10">
        <v>4</v>
      </c>
      <c r="Q54" s="10">
        <v>4</v>
      </c>
      <c r="R54" s="10">
        <v>4</v>
      </c>
      <c r="S54" s="10">
        <v>4</v>
      </c>
      <c r="T54" s="10">
        <v>4</v>
      </c>
      <c r="U54" s="10">
        <v>4</v>
      </c>
      <c r="V54" s="10">
        <v>4</v>
      </c>
      <c r="W54" s="2"/>
    </row>
    <row r="55" spans="4:23" hidden="1" x14ac:dyDescent="0.25">
      <c r="D55" s="2"/>
      <c r="E55" s="8">
        <v>4</v>
      </c>
      <c r="F55" s="9">
        <v>1</v>
      </c>
      <c r="G55" s="9">
        <v>1</v>
      </c>
      <c r="H55" s="9">
        <v>1</v>
      </c>
      <c r="I55" s="9">
        <v>1</v>
      </c>
      <c r="J55" s="9">
        <v>1</v>
      </c>
      <c r="K55" s="9">
        <v>1</v>
      </c>
      <c r="L55" s="11">
        <v>3</v>
      </c>
      <c r="M55" s="11">
        <v>3</v>
      </c>
      <c r="N55" s="11">
        <v>3</v>
      </c>
      <c r="O55" s="11">
        <v>3</v>
      </c>
      <c r="P55" s="11">
        <v>3</v>
      </c>
      <c r="Q55" s="11">
        <v>3</v>
      </c>
      <c r="R55" s="10">
        <v>4</v>
      </c>
      <c r="S55" s="10">
        <v>4</v>
      </c>
      <c r="T55" s="10">
        <v>4</v>
      </c>
      <c r="U55" s="10">
        <v>4</v>
      </c>
      <c r="V55" s="10">
        <v>4</v>
      </c>
      <c r="W55" s="2"/>
    </row>
    <row r="56" spans="4:23" hidden="1" x14ac:dyDescent="0.25">
      <c r="D56" s="2"/>
      <c r="E56" s="8">
        <v>5</v>
      </c>
      <c r="F56" s="12">
        <v>2</v>
      </c>
      <c r="G56" s="12">
        <v>2</v>
      </c>
      <c r="H56" s="12">
        <v>2</v>
      </c>
      <c r="I56" s="12">
        <v>2</v>
      </c>
      <c r="J56" s="12">
        <v>2</v>
      </c>
      <c r="K56" s="12">
        <v>2</v>
      </c>
      <c r="L56" s="11">
        <v>3</v>
      </c>
      <c r="M56" s="11">
        <v>3</v>
      </c>
      <c r="N56" s="11">
        <v>3</v>
      </c>
      <c r="O56" s="11">
        <v>3</v>
      </c>
      <c r="P56" s="11">
        <v>3</v>
      </c>
      <c r="Q56" s="11">
        <v>3</v>
      </c>
      <c r="R56" s="10">
        <v>4</v>
      </c>
      <c r="S56" s="10">
        <v>4</v>
      </c>
      <c r="T56" s="10">
        <v>4</v>
      </c>
      <c r="U56" s="10">
        <v>4</v>
      </c>
      <c r="V56" s="10">
        <v>4</v>
      </c>
      <c r="W56" s="2"/>
    </row>
    <row r="57" spans="4:23" hidden="1" x14ac:dyDescent="0.25">
      <c r="D57" s="2"/>
      <c r="E57" s="8">
        <v>6</v>
      </c>
      <c r="F57" s="12">
        <v>2</v>
      </c>
      <c r="G57" s="12">
        <v>2</v>
      </c>
      <c r="H57" s="12">
        <v>2</v>
      </c>
      <c r="I57" s="12">
        <v>2</v>
      </c>
      <c r="J57" s="12">
        <v>2</v>
      </c>
      <c r="K57" s="12">
        <v>2</v>
      </c>
      <c r="L57" s="11">
        <v>3</v>
      </c>
      <c r="M57" s="11">
        <v>3</v>
      </c>
      <c r="N57" s="11">
        <v>3</v>
      </c>
      <c r="O57" s="11">
        <v>3</v>
      </c>
      <c r="P57" s="11">
        <v>3</v>
      </c>
      <c r="Q57" s="11">
        <v>3</v>
      </c>
      <c r="R57" s="10">
        <v>4</v>
      </c>
      <c r="S57" s="10">
        <v>4</v>
      </c>
      <c r="T57" s="10">
        <v>4</v>
      </c>
      <c r="U57" s="10">
        <v>4</v>
      </c>
      <c r="V57" s="10">
        <v>4</v>
      </c>
      <c r="W57" s="2"/>
    </row>
    <row r="58" spans="4:23" hidden="1" x14ac:dyDescent="0.25">
      <c r="D58" s="2"/>
      <c r="E58" s="8">
        <v>7</v>
      </c>
      <c r="F58" s="12">
        <v>2</v>
      </c>
      <c r="G58" s="12">
        <v>2</v>
      </c>
      <c r="H58" s="12">
        <v>2</v>
      </c>
      <c r="I58" s="12">
        <v>2</v>
      </c>
      <c r="J58" s="12">
        <v>2</v>
      </c>
      <c r="K58" s="12">
        <v>2</v>
      </c>
      <c r="L58" s="11">
        <v>3</v>
      </c>
      <c r="M58" s="11">
        <v>3</v>
      </c>
      <c r="N58" s="11">
        <v>3</v>
      </c>
      <c r="O58" s="11">
        <v>3</v>
      </c>
      <c r="P58" s="11">
        <v>3</v>
      </c>
      <c r="Q58" s="11">
        <v>3</v>
      </c>
      <c r="R58" s="10">
        <v>4</v>
      </c>
      <c r="S58" s="10">
        <v>4</v>
      </c>
      <c r="T58" s="10">
        <v>4</v>
      </c>
      <c r="U58" s="10">
        <v>4</v>
      </c>
      <c r="V58" s="10">
        <v>4</v>
      </c>
      <c r="W58" s="2"/>
    </row>
    <row r="59" spans="4:23" hidden="1" x14ac:dyDescent="0.25">
      <c r="D59" s="2"/>
      <c r="E59" s="8">
        <v>8</v>
      </c>
      <c r="F59" s="12">
        <v>2</v>
      </c>
      <c r="G59" s="12">
        <v>2</v>
      </c>
      <c r="H59" s="12">
        <v>2</v>
      </c>
      <c r="I59" s="12">
        <v>2</v>
      </c>
      <c r="J59" s="12">
        <v>2</v>
      </c>
      <c r="K59" s="12">
        <v>2</v>
      </c>
      <c r="L59" s="11">
        <v>3</v>
      </c>
      <c r="M59" s="11">
        <v>3</v>
      </c>
      <c r="N59" s="11">
        <v>3</v>
      </c>
      <c r="O59" s="11">
        <v>3</v>
      </c>
      <c r="P59" s="11">
        <v>3</v>
      </c>
      <c r="Q59" s="11">
        <v>3</v>
      </c>
      <c r="R59" s="10">
        <v>4</v>
      </c>
      <c r="S59" s="10">
        <v>4</v>
      </c>
      <c r="T59" s="10">
        <v>4</v>
      </c>
      <c r="U59" s="10">
        <v>4</v>
      </c>
      <c r="V59" s="10">
        <v>4</v>
      </c>
      <c r="W59" s="2"/>
    </row>
    <row r="60" spans="4:23" hidden="1" x14ac:dyDescent="0.25">
      <c r="D60" s="2"/>
      <c r="E60" s="8">
        <v>9</v>
      </c>
      <c r="F60" s="12">
        <v>2</v>
      </c>
      <c r="G60" s="12">
        <v>2</v>
      </c>
      <c r="H60" s="12">
        <v>2</v>
      </c>
      <c r="I60" s="12">
        <v>2</v>
      </c>
      <c r="J60" s="12">
        <v>2</v>
      </c>
      <c r="K60" s="12">
        <v>2</v>
      </c>
      <c r="L60" s="11">
        <v>3</v>
      </c>
      <c r="M60" s="11">
        <v>3</v>
      </c>
      <c r="N60" s="11">
        <v>3</v>
      </c>
      <c r="O60" s="11">
        <v>3</v>
      </c>
      <c r="P60" s="11">
        <v>3</v>
      </c>
      <c r="Q60" s="11">
        <v>3</v>
      </c>
      <c r="R60" s="10">
        <v>4</v>
      </c>
      <c r="S60" s="10">
        <v>4</v>
      </c>
      <c r="T60" s="10">
        <v>4</v>
      </c>
      <c r="U60" s="10">
        <v>4</v>
      </c>
      <c r="V60" s="10">
        <v>4</v>
      </c>
      <c r="W60" s="2"/>
    </row>
    <row r="61" spans="4:23" hidden="1" x14ac:dyDescent="0.25">
      <c r="D61" s="2"/>
      <c r="E61" s="8">
        <v>10</v>
      </c>
      <c r="F61" s="12">
        <v>2</v>
      </c>
      <c r="G61" s="12">
        <v>2</v>
      </c>
      <c r="H61" s="12">
        <v>2</v>
      </c>
      <c r="I61" s="12">
        <v>2</v>
      </c>
      <c r="J61" s="12">
        <v>2</v>
      </c>
      <c r="K61" s="12">
        <v>2</v>
      </c>
      <c r="L61" s="13">
        <v>5</v>
      </c>
      <c r="M61" s="13">
        <v>5</v>
      </c>
      <c r="N61" s="13">
        <v>5</v>
      </c>
      <c r="O61" s="13">
        <v>5</v>
      </c>
      <c r="P61" s="13">
        <v>5</v>
      </c>
      <c r="Q61" s="13">
        <v>5</v>
      </c>
      <c r="R61" s="10">
        <v>4</v>
      </c>
      <c r="S61" s="10">
        <v>4</v>
      </c>
      <c r="T61" s="10">
        <v>4</v>
      </c>
      <c r="U61" s="10">
        <v>4</v>
      </c>
      <c r="V61" s="10">
        <v>4</v>
      </c>
      <c r="W61" s="2"/>
    </row>
    <row r="62" spans="4:23" hidden="1" x14ac:dyDescent="0.25">
      <c r="D62" s="2"/>
      <c r="E62" s="8">
        <v>11</v>
      </c>
      <c r="F62" s="12">
        <v>2</v>
      </c>
      <c r="G62" s="12">
        <v>2</v>
      </c>
      <c r="H62" s="12">
        <v>2</v>
      </c>
      <c r="I62" s="12">
        <v>2</v>
      </c>
      <c r="J62" s="12">
        <v>2</v>
      </c>
      <c r="K62" s="13">
        <v>5</v>
      </c>
      <c r="L62" s="13">
        <v>5</v>
      </c>
      <c r="M62" s="13">
        <v>5</v>
      </c>
      <c r="N62" s="13">
        <v>5</v>
      </c>
      <c r="O62" s="13">
        <v>5</v>
      </c>
      <c r="P62" s="13">
        <v>5</v>
      </c>
      <c r="Q62" s="13">
        <v>5</v>
      </c>
      <c r="R62" s="10">
        <v>4</v>
      </c>
      <c r="S62" s="10">
        <v>4</v>
      </c>
      <c r="T62" s="10">
        <v>4</v>
      </c>
      <c r="U62" s="10">
        <v>4</v>
      </c>
      <c r="V62" s="10">
        <v>4</v>
      </c>
      <c r="W62" s="2"/>
    </row>
    <row r="63" spans="4:23" hidden="1" x14ac:dyDescent="0.25">
      <c r="D63" s="2"/>
      <c r="E63" s="8">
        <v>12</v>
      </c>
      <c r="F63" s="12">
        <v>2</v>
      </c>
      <c r="G63" s="12">
        <v>2</v>
      </c>
      <c r="H63" s="12">
        <v>2</v>
      </c>
      <c r="I63" s="12">
        <v>2</v>
      </c>
      <c r="J63" s="13">
        <v>5</v>
      </c>
      <c r="K63" s="13">
        <v>5</v>
      </c>
      <c r="L63" s="13">
        <v>5</v>
      </c>
      <c r="M63" s="13">
        <v>5</v>
      </c>
      <c r="N63" s="13">
        <v>5</v>
      </c>
      <c r="O63" s="13">
        <v>5</v>
      </c>
      <c r="P63" s="13">
        <v>5</v>
      </c>
      <c r="Q63" s="13">
        <v>5</v>
      </c>
      <c r="R63" s="10">
        <v>4</v>
      </c>
      <c r="S63" s="10">
        <v>4</v>
      </c>
      <c r="T63" s="10">
        <v>4</v>
      </c>
      <c r="U63" s="10">
        <v>4</v>
      </c>
      <c r="V63" s="10">
        <v>4</v>
      </c>
      <c r="W63" s="2"/>
    </row>
    <row r="64" spans="4:23" hidden="1" x14ac:dyDescent="0.25">
      <c r="D64" s="2"/>
      <c r="E64" s="8">
        <v>13</v>
      </c>
      <c r="F64" s="12">
        <v>2</v>
      </c>
      <c r="G64" s="12">
        <v>2</v>
      </c>
      <c r="H64" s="12">
        <v>2</v>
      </c>
      <c r="I64" s="12">
        <v>2</v>
      </c>
      <c r="J64" s="13">
        <v>5</v>
      </c>
      <c r="K64" s="13">
        <v>5</v>
      </c>
      <c r="L64" s="13">
        <v>5</v>
      </c>
      <c r="M64" s="13">
        <v>5</v>
      </c>
      <c r="N64" s="13">
        <v>5</v>
      </c>
      <c r="O64" s="13">
        <v>5</v>
      </c>
      <c r="P64" s="13">
        <v>5</v>
      </c>
      <c r="Q64" s="13">
        <v>5</v>
      </c>
      <c r="R64" s="10">
        <v>4</v>
      </c>
      <c r="S64" s="10">
        <v>4</v>
      </c>
      <c r="T64" s="10">
        <v>4</v>
      </c>
      <c r="U64" s="10">
        <v>4</v>
      </c>
      <c r="V64" s="10">
        <v>4</v>
      </c>
      <c r="W64" s="2"/>
    </row>
    <row r="65" spans="4:23" hidden="1" x14ac:dyDescent="0.25">
      <c r="D65" s="2"/>
      <c r="E65" s="8">
        <v>14</v>
      </c>
      <c r="F65" s="12">
        <v>2</v>
      </c>
      <c r="G65" s="12">
        <v>2</v>
      </c>
      <c r="H65" s="12">
        <v>2</v>
      </c>
      <c r="I65" s="13">
        <v>5</v>
      </c>
      <c r="J65" s="13">
        <v>5</v>
      </c>
      <c r="K65" s="13">
        <v>5</v>
      </c>
      <c r="L65" s="13">
        <v>5</v>
      </c>
      <c r="M65" s="13">
        <v>5</v>
      </c>
      <c r="N65" s="13">
        <v>5</v>
      </c>
      <c r="O65" s="13">
        <v>5</v>
      </c>
      <c r="P65" s="13">
        <v>5</v>
      </c>
      <c r="Q65" s="13">
        <v>5</v>
      </c>
      <c r="R65" s="10">
        <v>4</v>
      </c>
      <c r="S65" s="10">
        <v>4</v>
      </c>
      <c r="T65" s="10">
        <v>4</v>
      </c>
      <c r="U65" s="10">
        <v>4</v>
      </c>
      <c r="V65" s="10">
        <v>4</v>
      </c>
      <c r="W65" s="2"/>
    </row>
    <row r="66" spans="4:23" hidden="1" x14ac:dyDescent="0.25"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</row>
    <row r="67" spans="4:23" hidden="1" x14ac:dyDescent="0.25">
      <c r="D67" s="2"/>
      <c r="E67" s="2"/>
      <c r="F67" s="2"/>
      <c r="G67" s="2"/>
      <c r="H67" s="2"/>
      <c r="I67" s="2" t="s">
        <v>4</v>
      </c>
      <c r="J67" s="2">
        <f>I42</f>
        <v>2</v>
      </c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</row>
    <row r="68" spans="4:23" hidden="1" x14ac:dyDescent="0.25">
      <c r="D68" s="2"/>
      <c r="E68" s="2"/>
      <c r="F68" s="2"/>
      <c r="G68" s="2"/>
      <c r="H68" s="2"/>
      <c r="I68" s="2" t="s">
        <v>5</v>
      </c>
      <c r="J68" s="2">
        <f>I43</f>
        <v>1</v>
      </c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</row>
    <row r="69" spans="4:23" hidden="1" x14ac:dyDescent="0.25">
      <c r="D69" s="2"/>
      <c r="E69" s="2"/>
      <c r="F69" s="8"/>
      <c r="G69" s="8"/>
      <c r="H69" s="8" cm="1">
        <f t="array" ref="H69:T69">TRANSPOSE(W73:W85)</f>
        <v>1</v>
      </c>
      <c r="I69" s="8">
        <v>2</v>
      </c>
      <c r="J69" s="8">
        <v>3</v>
      </c>
      <c r="K69" s="8">
        <v>4</v>
      </c>
      <c r="L69" s="8">
        <v>5</v>
      </c>
      <c r="M69" s="8">
        <v>6</v>
      </c>
      <c r="N69" s="8">
        <v>7</v>
      </c>
      <c r="O69" s="8">
        <v>8</v>
      </c>
      <c r="P69" s="8">
        <v>9</v>
      </c>
      <c r="Q69" s="8">
        <v>10</v>
      </c>
      <c r="R69" s="8">
        <v>11</v>
      </c>
      <c r="S69" s="8">
        <v>12</v>
      </c>
      <c r="T69" s="8">
        <v>13</v>
      </c>
      <c r="U69" s="8"/>
      <c r="V69" s="8"/>
      <c r="W69" s="2"/>
    </row>
    <row r="70" spans="4:23" hidden="1" x14ac:dyDescent="0.25">
      <c r="D70" s="2"/>
      <c r="E70" s="2"/>
      <c r="F70" s="8">
        <v>-2</v>
      </c>
      <c r="G70" s="8">
        <v>-1</v>
      </c>
      <c r="H70" s="8">
        <v>0</v>
      </c>
      <c r="I70" s="8">
        <v>1</v>
      </c>
      <c r="J70" s="8">
        <v>2</v>
      </c>
      <c r="K70" s="8">
        <v>3</v>
      </c>
      <c r="L70" s="8">
        <v>4</v>
      </c>
      <c r="M70" s="8">
        <v>5</v>
      </c>
      <c r="N70" s="8">
        <v>6</v>
      </c>
      <c r="O70" s="8">
        <v>7</v>
      </c>
      <c r="P70" s="8">
        <v>8</v>
      </c>
      <c r="Q70" s="8">
        <v>9</v>
      </c>
      <c r="R70" s="8">
        <v>10</v>
      </c>
      <c r="S70" s="8">
        <v>11</v>
      </c>
      <c r="T70" s="8">
        <v>12</v>
      </c>
      <c r="U70" s="8">
        <v>13</v>
      </c>
      <c r="V70" s="8">
        <v>14</v>
      </c>
      <c r="W70" s="2"/>
    </row>
    <row r="71" spans="4:23" hidden="1" x14ac:dyDescent="0.25">
      <c r="D71" s="2" t="e">
        <f>MATCH(E71-$J$68,$E$49:$E$65,0)</f>
        <v>#N/A</v>
      </c>
      <c r="E71" s="8">
        <v>-2</v>
      </c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 t="e">
        <f>MATCH(E71-$J$67,$F$48:$V$48,0)</f>
        <v>#N/A</v>
      </c>
    </row>
    <row r="72" spans="4:23" hidden="1" x14ac:dyDescent="0.25">
      <c r="D72" s="2">
        <f t="shared" ref="D72:D87" si="51">MATCH(E72-$J$68,$E$49:$E$65,0)</f>
        <v>1</v>
      </c>
      <c r="E72" s="8">
        <v>-1</v>
      </c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 t="e">
        <f t="shared" ref="W72:W87" si="52">MATCH(E72-$J$67,$F$48:$V$48,0)</f>
        <v>#N/A</v>
      </c>
    </row>
    <row r="73" spans="4:23" hidden="1" x14ac:dyDescent="0.25">
      <c r="D73" s="2">
        <f t="shared" si="51"/>
        <v>2</v>
      </c>
      <c r="E73" s="8">
        <v>0</v>
      </c>
      <c r="F73" s="2"/>
      <c r="G73" s="2"/>
      <c r="H73" s="2" cm="1">
        <f t="array" ref="H73">INDEX($F$49:$V$65,$D73,H$69)</f>
        <v>1</v>
      </c>
      <c r="I73" s="2" cm="1">
        <f t="array" ref="I73">INDEX($F$49:$V$65,$D73,I$69)</f>
        <v>1</v>
      </c>
      <c r="J73" s="2" cm="1">
        <f t="array" ref="J73">INDEX($F$49:$V$65,$D73,J$69)</f>
        <v>1</v>
      </c>
      <c r="K73" s="2" cm="1">
        <f t="array" ref="K73">INDEX($F$49:$V$65,$D73,K$69)</f>
        <v>1</v>
      </c>
      <c r="L73" s="2" cm="1">
        <f t="array" ref="L73">INDEX($F$49:$V$65,$D73,L$69)</f>
        <v>1</v>
      </c>
      <c r="M73" s="2" cm="1">
        <f t="array" ref="M73">INDEX($F$49:$V$65,$D73,M$69)</f>
        <v>1</v>
      </c>
      <c r="N73" s="2" cm="1">
        <f t="array" ref="N73">INDEX($F$49:$V$65,$D73,N$69)</f>
        <v>1</v>
      </c>
      <c r="O73" s="2" cm="1">
        <f t="array" ref="O73">INDEX($F$49:$V$65,$D73,O$69)</f>
        <v>1</v>
      </c>
      <c r="P73" s="2" cm="1">
        <f t="array" ref="P73">INDEX($F$49:$V$65,$D73,P$69)</f>
        <v>1</v>
      </c>
      <c r="Q73" s="2" cm="1">
        <f t="array" ref="Q73">INDEX($F$49:$V$65,$D73,Q$69)</f>
        <v>4</v>
      </c>
      <c r="R73" s="2" cm="1">
        <f t="array" ref="R73">INDEX($F$49:$V$65,$D73,R$69)</f>
        <v>4</v>
      </c>
      <c r="S73" s="2" cm="1">
        <f t="array" ref="S73">INDEX($F$49:$V$65,$D73,S$69)</f>
        <v>4</v>
      </c>
      <c r="T73" s="2" cm="1">
        <f t="array" ref="T73">INDEX($F$49:$V$65,$D73,T$69)</f>
        <v>4</v>
      </c>
      <c r="U73" s="2"/>
      <c r="V73" s="2"/>
      <c r="W73" s="2">
        <f t="shared" si="52"/>
        <v>1</v>
      </c>
    </row>
    <row r="74" spans="4:23" hidden="1" x14ac:dyDescent="0.25">
      <c r="D74" s="2">
        <f t="shared" si="51"/>
        <v>3</v>
      </c>
      <c r="E74" s="8">
        <v>1</v>
      </c>
      <c r="F74" s="2"/>
      <c r="G74" s="2"/>
      <c r="H74" s="2" cm="1">
        <f t="array" ref="H74">INDEX($F$49:$V$65,$D74,H$69)</f>
        <v>1</v>
      </c>
      <c r="I74" s="2" cm="1">
        <f t="array" ref="I74">INDEX($F$49:$V$65,$D74,I$69)</f>
        <v>1</v>
      </c>
      <c r="J74" s="2" cm="1">
        <f t="array" ref="J74">INDEX($F$49:$V$65,$D74,J$69)</f>
        <v>1</v>
      </c>
      <c r="K74" s="2" cm="1">
        <f t="array" ref="K74">INDEX($F$49:$V$65,$D74,K$69)</f>
        <v>1</v>
      </c>
      <c r="L74" s="2" cm="1">
        <f t="array" ref="L74">INDEX($F$49:$V$65,$D74,L$69)</f>
        <v>1</v>
      </c>
      <c r="M74" s="2" cm="1">
        <f t="array" ref="M74">INDEX($F$49:$V$65,$D74,M$69)</f>
        <v>1</v>
      </c>
      <c r="N74" s="2" cm="1">
        <f t="array" ref="N74">INDEX($F$49:$V$65,$D74,N$69)</f>
        <v>1</v>
      </c>
      <c r="O74" s="2" cm="1">
        <f t="array" ref="O74">INDEX($F$49:$V$65,$D74,O$69)</f>
        <v>1</v>
      </c>
      <c r="P74" s="2" cm="1">
        <f t="array" ref="P74">INDEX($F$49:$V$65,$D74,P$69)</f>
        <v>1</v>
      </c>
      <c r="Q74" s="2" cm="1">
        <f t="array" ref="Q74">INDEX($F$49:$V$65,$D74,Q$69)</f>
        <v>4</v>
      </c>
      <c r="R74" s="2" cm="1">
        <f t="array" ref="R74">INDEX($F$49:$V$65,$D74,R$69)</f>
        <v>4</v>
      </c>
      <c r="S74" s="2" cm="1">
        <f t="array" ref="S74">INDEX($F$49:$V$65,$D74,S$69)</f>
        <v>4</v>
      </c>
      <c r="T74" s="2" cm="1">
        <f t="array" ref="T74">INDEX($F$49:$V$65,$D74,T$69)</f>
        <v>4</v>
      </c>
      <c r="U74" s="2"/>
      <c r="V74" s="2"/>
      <c r="W74" s="2">
        <f t="shared" si="52"/>
        <v>2</v>
      </c>
    </row>
    <row r="75" spans="4:23" hidden="1" x14ac:dyDescent="0.25">
      <c r="D75" s="2">
        <f t="shared" si="51"/>
        <v>4</v>
      </c>
      <c r="E75" s="8">
        <v>2</v>
      </c>
      <c r="F75" s="2"/>
      <c r="G75" s="2"/>
      <c r="H75" s="2" cm="1">
        <f t="array" ref="H75">INDEX($F$49:$V$65,$D75,H$69)</f>
        <v>1</v>
      </c>
      <c r="I75" s="2" cm="1">
        <f t="array" ref="I75">INDEX($F$49:$V$65,$D75,I$69)</f>
        <v>1</v>
      </c>
      <c r="J75" s="2" cm="1">
        <f t="array" ref="J75">INDEX($F$49:$V$65,$D75,J$69)</f>
        <v>1</v>
      </c>
      <c r="K75" s="2" cm="1">
        <f t="array" ref="K75">INDEX($F$49:$V$65,$D75,K$69)</f>
        <v>1</v>
      </c>
      <c r="L75" s="2" cm="1">
        <f t="array" ref="L75">INDEX($F$49:$V$65,$D75,L$69)</f>
        <v>1</v>
      </c>
      <c r="M75" s="2" cm="1">
        <f t="array" ref="M75">INDEX($F$49:$V$65,$D75,M$69)</f>
        <v>1</v>
      </c>
      <c r="N75" s="2" cm="1">
        <f t="array" ref="N75">INDEX($F$49:$V$65,$D75,N$69)</f>
        <v>1</v>
      </c>
      <c r="O75" s="2" cm="1">
        <f t="array" ref="O75">INDEX($F$49:$V$65,$D75,O$69)</f>
        <v>1</v>
      </c>
      <c r="P75" s="2" cm="1">
        <f t="array" ref="P75">INDEX($F$49:$V$65,$D75,P$69)</f>
        <v>1</v>
      </c>
      <c r="Q75" s="2" cm="1">
        <f t="array" ref="Q75">INDEX($F$49:$V$65,$D75,Q$69)</f>
        <v>4</v>
      </c>
      <c r="R75" s="2" cm="1">
        <f t="array" ref="R75">INDEX($F$49:$V$65,$D75,R$69)</f>
        <v>4</v>
      </c>
      <c r="S75" s="2" cm="1">
        <f t="array" ref="S75">INDEX($F$49:$V$65,$D75,S$69)</f>
        <v>4</v>
      </c>
      <c r="T75" s="2" cm="1">
        <f t="array" ref="T75">INDEX($F$49:$V$65,$D75,T$69)</f>
        <v>4</v>
      </c>
      <c r="U75" s="2"/>
      <c r="V75" s="2"/>
      <c r="W75" s="2">
        <f t="shared" si="52"/>
        <v>3</v>
      </c>
    </row>
    <row r="76" spans="4:23" hidden="1" x14ac:dyDescent="0.25">
      <c r="D76" s="2">
        <f t="shared" si="51"/>
        <v>5</v>
      </c>
      <c r="E76" s="8">
        <v>3</v>
      </c>
      <c r="F76" s="2"/>
      <c r="G76" s="2"/>
      <c r="H76" s="2" cm="1">
        <f t="array" ref="H76">INDEX($F$49:$V$65,$D76,H$69)</f>
        <v>1</v>
      </c>
      <c r="I76" s="2" cm="1">
        <f t="array" ref="I76">INDEX($F$49:$V$65,$D76,I$69)</f>
        <v>1</v>
      </c>
      <c r="J76" s="2" cm="1">
        <f t="array" ref="J76">INDEX($F$49:$V$65,$D76,J$69)</f>
        <v>1</v>
      </c>
      <c r="K76" s="2" cm="1">
        <f t="array" ref="K76">INDEX($F$49:$V$65,$D76,K$69)</f>
        <v>1</v>
      </c>
      <c r="L76" s="2" cm="1">
        <f t="array" ref="L76">INDEX($F$49:$V$65,$D76,L$69)</f>
        <v>1</v>
      </c>
      <c r="M76" s="2" cm="1">
        <f t="array" ref="M76">INDEX($F$49:$V$65,$D76,M$69)</f>
        <v>1</v>
      </c>
      <c r="N76" s="2" cm="1">
        <f t="array" ref="N76">INDEX($F$49:$V$65,$D76,N$69)</f>
        <v>1</v>
      </c>
      <c r="O76" s="2" cm="1">
        <f t="array" ref="O76">INDEX($F$49:$V$65,$D76,O$69)</f>
        <v>1</v>
      </c>
      <c r="P76" s="2" cm="1">
        <f t="array" ref="P76">INDEX($F$49:$V$65,$D76,P$69)</f>
        <v>3</v>
      </c>
      <c r="Q76" s="2" cm="1">
        <f t="array" ref="Q76">INDEX($F$49:$V$65,$D76,Q$69)</f>
        <v>4</v>
      </c>
      <c r="R76" s="2" cm="1">
        <f t="array" ref="R76">INDEX($F$49:$V$65,$D76,R$69)</f>
        <v>4</v>
      </c>
      <c r="S76" s="2" cm="1">
        <f t="array" ref="S76">INDEX($F$49:$V$65,$D76,S$69)</f>
        <v>4</v>
      </c>
      <c r="T76" s="2" cm="1">
        <f t="array" ref="T76">INDEX($F$49:$V$65,$D76,T$69)</f>
        <v>4</v>
      </c>
      <c r="U76" s="2"/>
      <c r="V76" s="2"/>
      <c r="W76" s="2">
        <f t="shared" si="52"/>
        <v>4</v>
      </c>
    </row>
    <row r="77" spans="4:23" hidden="1" x14ac:dyDescent="0.25">
      <c r="D77" s="2">
        <f t="shared" si="51"/>
        <v>6</v>
      </c>
      <c r="E77" s="8">
        <v>4</v>
      </c>
      <c r="F77" s="2"/>
      <c r="G77" s="2"/>
      <c r="H77" s="2" cm="1">
        <f t="array" ref="H77">INDEX($F$49:$V$65,$D77,H$69)</f>
        <v>1</v>
      </c>
      <c r="I77" s="2" cm="1">
        <f t="array" ref="I77">INDEX($F$49:$V$65,$D77,I$69)</f>
        <v>1</v>
      </c>
      <c r="J77" s="2" cm="1">
        <f t="array" ref="J77">INDEX($F$49:$V$65,$D77,J$69)</f>
        <v>1</v>
      </c>
      <c r="K77" s="2" cm="1">
        <f t="array" ref="K77">INDEX($F$49:$V$65,$D77,K$69)</f>
        <v>1</v>
      </c>
      <c r="L77" s="2" cm="1">
        <f t="array" ref="L77">INDEX($F$49:$V$65,$D77,L$69)</f>
        <v>1</v>
      </c>
      <c r="M77" s="2" cm="1">
        <f t="array" ref="M77">INDEX($F$49:$V$65,$D77,M$69)</f>
        <v>1</v>
      </c>
      <c r="N77" s="2" cm="1">
        <f t="array" ref="N77">INDEX($F$49:$V$65,$D77,N$69)</f>
        <v>1</v>
      </c>
      <c r="O77" s="2" cm="1">
        <f t="array" ref="O77">INDEX($F$49:$V$65,$D77,O$69)</f>
        <v>3</v>
      </c>
      <c r="P77" s="2" cm="1">
        <f t="array" ref="P77">INDEX($F$49:$V$65,$D77,P$69)</f>
        <v>3</v>
      </c>
      <c r="Q77" s="2" cm="1">
        <f t="array" ref="Q77">INDEX($F$49:$V$65,$D77,Q$69)</f>
        <v>3</v>
      </c>
      <c r="R77" s="2" cm="1">
        <f t="array" ref="R77">INDEX($F$49:$V$65,$D77,R$69)</f>
        <v>4</v>
      </c>
      <c r="S77" s="2" cm="1">
        <f t="array" ref="S77">INDEX($F$49:$V$65,$D77,S$69)</f>
        <v>4</v>
      </c>
      <c r="T77" s="2" cm="1">
        <f t="array" ref="T77">INDEX($F$49:$V$65,$D77,T$69)</f>
        <v>4</v>
      </c>
      <c r="U77" s="2"/>
      <c r="V77" s="2"/>
      <c r="W77" s="2">
        <f t="shared" si="52"/>
        <v>5</v>
      </c>
    </row>
    <row r="78" spans="4:23" hidden="1" x14ac:dyDescent="0.25">
      <c r="D78" s="2">
        <f t="shared" si="51"/>
        <v>7</v>
      </c>
      <c r="E78" s="8">
        <v>5</v>
      </c>
      <c r="F78" s="2"/>
      <c r="G78" s="2"/>
      <c r="H78" s="2" cm="1">
        <f t="array" ref="H78">INDEX($F$49:$V$65,$D78,H$69)</f>
        <v>1</v>
      </c>
      <c r="I78" s="2" cm="1">
        <f t="array" ref="I78">INDEX($F$49:$V$65,$D78,I$69)</f>
        <v>1</v>
      </c>
      <c r="J78" s="2" cm="1">
        <f t="array" ref="J78">INDEX($F$49:$V$65,$D78,J$69)</f>
        <v>1</v>
      </c>
      <c r="K78" s="2" cm="1">
        <f t="array" ref="K78">INDEX($F$49:$V$65,$D78,K$69)</f>
        <v>1</v>
      </c>
      <c r="L78" s="2" cm="1">
        <f t="array" ref="L78">INDEX($F$49:$V$65,$D78,L$69)</f>
        <v>1</v>
      </c>
      <c r="M78" s="2" cm="1">
        <f t="array" ref="M78">INDEX($F$49:$V$65,$D78,M$69)</f>
        <v>1</v>
      </c>
      <c r="N78" s="2" cm="1">
        <f t="array" ref="N78">INDEX($F$49:$V$65,$D78,N$69)</f>
        <v>3</v>
      </c>
      <c r="O78" s="2" cm="1">
        <f t="array" ref="O78">INDEX($F$49:$V$65,$D78,O$69)</f>
        <v>3</v>
      </c>
      <c r="P78" s="2" cm="1">
        <f t="array" ref="P78">INDEX($F$49:$V$65,$D78,P$69)</f>
        <v>3</v>
      </c>
      <c r="Q78" s="2" cm="1">
        <f t="array" ref="Q78">INDEX($F$49:$V$65,$D78,Q$69)</f>
        <v>3</v>
      </c>
      <c r="R78" s="2" cm="1">
        <f t="array" ref="R78">INDEX($F$49:$V$65,$D78,R$69)</f>
        <v>3</v>
      </c>
      <c r="S78" s="2" cm="1">
        <f t="array" ref="S78">INDEX($F$49:$V$65,$D78,S$69)</f>
        <v>3</v>
      </c>
      <c r="T78" s="2" cm="1">
        <f t="array" ref="T78">INDEX($F$49:$V$65,$D78,T$69)</f>
        <v>4</v>
      </c>
      <c r="U78" s="2"/>
      <c r="V78" s="2"/>
      <c r="W78" s="2">
        <f t="shared" si="52"/>
        <v>6</v>
      </c>
    </row>
    <row r="79" spans="4:23" hidden="1" x14ac:dyDescent="0.25">
      <c r="D79" s="2">
        <f t="shared" si="51"/>
        <v>8</v>
      </c>
      <c r="E79" s="8">
        <v>6</v>
      </c>
      <c r="F79" s="2"/>
      <c r="G79" s="2"/>
      <c r="H79" s="2" cm="1">
        <f t="array" ref="H79">INDEX($F$49:$V$65,$D79,H$69)</f>
        <v>2</v>
      </c>
      <c r="I79" s="2" cm="1">
        <f t="array" ref="I79">INDEX($F$49:$V$65,$D79,I$69)</f>
        <v>2</v>
      </c>
      <c r="J79" s="2" cm="1">
        <f t="array" ref="J79">INDEX($F$49:$V$65,$D79,J$69)</f>
        <v>2</v>
      </c>
      <c r="K79" s="2" cm="1">
        <f t="array" ref="K79">INDEX($F$49:$V$65,$D79,K$69)</f>
        <v>2</v>
      </c>
      <c r="L79" s="2" cm="1">
        <f t="array" ref="L79">INDEX($F$49:$V$65,$D79,L$69)</f>
        <v>2</v>
      </c>
      <c r="M79" s="2" cm="1">
        <f t="array" ref="M79">INDEX($F$49:$V$65,$D79,M$69)</f>
        <v>2</v>
      </c>
      <c r="N79" s="2" cm="1">
        <f t="array" ref="N79">INDEX($F$49:$V$65,$D79,N$69)</f>
        <v>3</v>
      </c>
      <c r="O79" s="2" cm="1">
        <f t="array" ref="O79">INDEX($F$49:$V$65,$D79,O$69)</f>
        <v>3</v>
      </c>
      <c r="P79" s="2" cm="1">
        <f t="array" ref="P79">INDEX($F$49:$V$65,$D79,P$69)</f>
        <v>3</v>
      </c>
      <c r="Q79" s="2" cm="1">
        <f t="array" ref="Q79">INDEX($F$49:$V$65,$D79,Q$69)</f>
        <v>3</v>
      </c>
      <c r="R79" s="2" cm="1">
        <f t="array" ref="R79">INDEX($F$49:$V$65,$D79,R$69)</f>
        <v>3</v>
      </c>
      <c r="S79" s="2" cm="1">
        <f t="array" ref="S79">INDEX($F$49:$V$65,$D79,S$69)</f>
        <v>3</v>
      </c>
      <c r="T79" s="2" cm="1">
        <f t="array" ref="T79">INDEX($F$49:$V$65,$D79,T$69)</f>
        <v>4</v>
      </c>
      <c r="U79" s="2"/>
      <c r="V79" s="2"/>
      <c r="W79" s="2">
        <f t="shared" si="52"/>
        <v>7</v>
      </c>
    </row>
    <row r="80" spans="4:23" hidden="1" x14ac:dyDescent="0.25">
      <c r="D80" s="2">
        <f t="shared" si="51"/>
        <v>9</v>
      </c>
      <c r="E80" s="8">
        <v>7</v>
      </c>
      <c r="F80" s="2"/>
      <c r="G80" s="2"/>
      <c r="H80" s="2" cm="1">
        <f t="array" ref="H80">INDEX($F$49:$V$65,$D80,H$69)</f>
        <v>2</v>
      </c>
      <c r="I80" s="2" cm="1">
        <f t="array" ref="I80">INDEX($F$49:$V$65,$D80,I$69)</f>
        <v>2</v>
      </c>
      <c r="J80" s="2" cm="1">
        <f t="array" ref="J80">INDEX($F$49:$V$65,$D80,J$69)</f>
        <v>2</v>
      </c>
      <c r="K80" s="2" cm="1">
        <f t="array" ref="K80">INDEX($F$49:$V$65,$D80,K$69)</f>
        <v>2</v>
      </c>
      <c r="L80" s="2" cm="1">
        <f t="array" ref="L80">INDEX($F$49:$V$65,$D80,L$69)</f>
        <v>2</v>
      </c>
      <c r="M80" s="2" cm="1">
        <f t="array" ref="M80">INDEX($F$49:$V$65,$D80,M$69)</f>
        <v>2</v>
      </c>
      <c r="N80" s="2" cm="1">
        <f t="array" ref="N80">INDEX($F$49:$V$65,$D80,N$69)</f>
        <v>3</v>
      </c>
      <c r="O80" s="2" cm="1">
        <f t="array" ref="O80">INDEX($F$49:$V$65,$D80,O$69)</f>
        <v>3</v>
      </c>
      <c r="P80" s="2" cm="1">
        <f t="array" ref="P80">INDEX($F$49:$V$65,$D80,P$69)</f>
        <v>3</v>
      </c>
      <c r="Q80" s="2" cm="1">
        <f t="array" ref="Q80">INDEX($F$49:$V$65,$D80,Q$69)</f>
        <v>3</v>
      </c>
      <c r="R80" s="2" cm="1">
        <f t="array" ref="R80">INDEX($F$49:$V$65,$D80,R$69)</f>
        <v>3</v>
      </c>
      <c r="S80" s="2" cm="1">
        <f t="array" ref="S80">INDEX($F$49:$V$65,$D80,S$69)</f>
        <v>3</v>
      </c>
      <c r="T80" s="2" cm="1">
        <f t="array" ref="T80">INDEX($F$49:$V$65,$D80,T$69)</f>
        <v>4</v>
      </c>
      <c r="U80" s="2"/>
      <c r="V80" s="2"/>
      <c r="W80" s="2">
        <f t="shared" si="52"/>
        <v>8</v>
      </c>
    </row>
    <row r="81" spans="4:23" hidden="1" x14ac:dyDescent="0.25">
      <c r="D81" s="2">
        <f t="shared" si="51"/>
        <v>10</v>
      </c>
      <c r="E81" s="8">
        <v>8</v>
      </c>
      <c r="F81" s="2"/>
      <c r="G81" s="2"/>
      <c r="H81" s="2" cm="1">
        <f t="array" ref="H81">INDEX($F$49:$V$65,$D81,H$69)</f>
        <v>2</v>
      </c>
      <c r="I81" s="2" cm="1">
        <f t="array" ref="I81">INDEX($F$49:$V$65,$D81,I$69)</f>
        <v>2</v>
      </c>
      <c r="J81" s="2" cm="1">
        <f t="array" ref="J81">INDEX($F$49:$V$65,$D81,J$69)</f>
        <v>2</v>
      </c>
      <c r="K81" s="2" cm="1">
        <f t="array" ref="K81">INDEX($F$49:$V$65,$D81,K$69)</f>
        <v>2</v>
      </c>
      <c r="L81" s="2" cm="1">
        <f t="array" ref="L81">INDEX($F$49:$V$65,$D81,L$69)</f>
        <v>2</v>
      </c>
      <c r="M81" s="2" cm="1">
        <f t="array" ref="M81">INDEX($F$49:$V$65,$D81,M$69)</f>
        <v>2</v>
      </c>
      <c r="N81" s="2" cm="1">
        <f t="array" ref="N81">INDEX($F$49:$V$65,$D81,N$69)</f>
        <v>3</v>
      </c>
      <c r="O81" s="2" cm="1">
        <f t="array" ref="O81">INDEX($F$49:$V$65,$D81,O$69)</f>
        <v>3</v>
      </c>
      <c r="P81" s="2" cm="1">
        <f t="array" ref="P81">INDEX($F$49:$V$65,$D81,P$69)</f>
        <v>3</v>
      </c>
      <c r="Q81" s="2" cm="1">
        <f t="array" ref="Q81">INDEX($F$49:$V$65,$D81,Q$69)</f>
        <v>3</v>
      </c>
      <c r="R81" s="2" cm="1">
        <f t="array" ref="R81">INDEX($F$49:$V$65,$D81,R$69)</f>
        <v>3</v>
      </c>
      <c r="S81" s="2" cm="1">
        <f t="array" ref="S81">INDEX($F$49:$V$65,$D81,S$69)</f>
        <v>3</v>
      </c>
      <c r="T81" s="2" cm="1">
        <f t="array" ref="T81">INDEX($F$49:$V$65,$D81,T$69)</f>
        <v>4</v>
      </c>
      <c r="U81" s="2"/>
      <c r="V81" s="2"/>
      <c r="W81" s="2">
        <f t="shared" si="52"/>
        <v>9</v>
      </c>
    </row>
    <row r="82" spans="4:23" hidden="1" x14ac:dyDescent="0.25">
      <c r="D82" s="2">
        <f t="shared" si="51"/>
        <v>11</v>
      </c>
      <c r="E82" s="8">
        <v>9</v>
      </c>
      <c r="F82" s="2"/>
      <c r="G82" s="2"/>
      <c r="H82" s="2" cm="1">
        <f t="array" ref="H82">INDEX($F$49:$V$65,$D82,H$69)</f>
        <v>2</v>
      </c>
      <c r="I82" s="2" cm="1">
        <f t="array" ref="I82">INDEX($F$49:$V$65,$D82,I$69)</f>
        <v>2</v>
      </c>
      <c r="J82" s="2" cm="1">
        <f t="array" ref="J82">INDEX($F$49:$V$65,$D82,J$69)</f>
        <v>2</v>
      </c>
      <c r="K82" s="2" cm="1">
        <f t="array" ref="K82">INDEX($F$49:$V$65,$D82,K$69)</f>
        <v>2</v>
      </c>
      <c r="L82" s="2" cm="1">
        <f t="array" ref="L82">INDEX($F$49:$V$65,$D82,L$69)</f>
        <v>2</v>
      </c>
      <c r="M82" s="2" cm="1">
        <f t="array" ref="M82">INDEX($F$49:$V$65,$D82,M$69)</f>
        <v>2</v>
      </c>
      <c r="N82" s="2" cm="1">
        <f t="array" ref="N82">INDEX($F$49:$V$65,$D82,N$69)</f>
        <v>3</v>
      </c>
      <c r="O82" s="2" cm="1">
        <f t="array" ref="O82">INDEX($F$49:$V$65,$D82,O$69)</f>
        <v>3</v>
      </c>
      <c r="P82" s="2" cm="1">
        <f t="array" ref="P82">INDEX($F$49:$V$65,$D82,P$69)</f>
        <v>3</v>
      </c>
      <c r="Q82" s="2" cm="1">
        <f t="array" ref="Q82">INDEX($F$49:$V$65,$D82,Q$69)</f>
        <v>3</v>
      </c>
      <c r="R82" s="2" cm="1">
        <f t="array" ref="R82">INDEX($F$49:$V$65,$D82,R$69)</f>
        <v>3</v>
      </c>
      <c r="S82" s="2" cm="1">
        <f t="array" ref="S82">INDEX($F$49:$V$65,$D82,S$69)</f>
        <v>3</v>
      </c>
      <c r="T82" s="2" cm="1">
        <f t="array" ref="T82">INDEX($F$49:$V$65,$D82,T$69)</f>
        <v>4</v>
      </c>
      <c r="U82" s="2"/>
      <c r="V82" s="2"/>
      <c r="W82" s="2">
        <f t="shared" si="52"/>
        <v>10</v>
      </c>
    </row>
    <row r="83" spans="4:23" hidden="1" x14ac:dyDescent="0.25">
      <c r="D83" s="2">
        <f t="shared" si="51"/>
        <v>12</v>
      </c>
      <c r="E83" s="8">
        <v>10</v>
      </c>
      <c r="F83" s="2"/>
      <c r="G83" s="2"/>
      <c r="H83" s="2" cm="1">
        <f t="array" ref="H83">INDEX($F$49:$V$65,$D83,H$69)</f>
        <v>2</v>
      </c>
      <c r="I83" s="2" cm="1">
        <f t="array" ref="I83">INDEX($F$49:$V$65,$D83,I$69)</f>
        <v>2</v>
      </c>
      <c r="J83" s="2" cm="1">
        <f t="array" ref="J83">INDEX($F$49:$V$65,$D83,J$69)</f>
        <v>2</v>
      </c>
      <c r="K83" s="2" cm="1">
        <f t="array" ref="K83">INDEX($F$49:$V$65,$D83,K$69)</f>
        <v>2</v>
      </c>
      <c r="L83" s="2" cm="1">
        <f t="array" ref="L83">INDEX($F$49:$V$65,$D83,L$69)</f>
        <v>2</v>
      </c>
      <c r="M83" s="2" cm="1">
        <f t="array" ref="M83">INDEX($F$49:$V$65,$D83,M$69)</f>
        <v>2</v>
      </c>
      <c r="N83" s="2" cm="1">
        <f t="array" ref="N83">INDEX($F$49:$V$65,$D83,N$69)</f>
        <v>3</v>
      </c>
      <c r="O83" s="2" cm="1">
        <f t="array" ref="O83">INDEX($F$49:$V$65,$D83,O$69)</f>
        <v>3</v>
      </c>
      <c r="P83" s="2" cm="1">
        <f t="array" ref="P83">INDEX($F$49:$V$65,$D83,P$69)</f>
        <v>3</v>
      </c>
      <c r="Q83" s="2" cm="1">
        <f t="array" ref="Q83">INDEX($F$49:$V$65,$D83,Q$69)</f>
        <v>3</v>
      </c>
      <c r="R83" s="2" cm="1">
        <f t="array" ref="R83">INDEX($F$49:$V$65,$D83,R$69)</f>
        <v>3</v>
      </c>
      <c r="S83" s="2" cm="1">
        <f t="array" ref="S83">INDEX($F$49:$V$65,$D83,S$69)</f>
        <v>3</v>
      </c>
      <c r="T83" s="2" cm="1">
        <f t="array" ref="T83">INDEX($F$49:$V$65,$D83,T$69)</f>
        <v>4</v>
      </c>
      <c r="U83" s="2"/>
      <c r="V83" s="2"/>
      <c r="W83" s="2">
        <f t="shared" si="52"/>
        <v>11</v>
      </c>
    </row>
    <row r="84" spans="4:23" hidden="1" x14ac:dyDescent="0.25">
      <c r="D84" s="2">
        <f t="shared" si="51"/>
        <v>13</v>
      </c>
      <c r="E84" s="8">
        <v>11</v>
      </c>
      <c r="F84" s="2"/>
      <c r="G84" s="2"/>
      <c r="H84" s="2" cm="1">
        <f t="array" ref="H84">INDEX($F$49:$V$65,$D84,H$69)</f>
        <v>2</v>
      </c>
      <c r="I84" s="2" cm="1">
        <f t="array" ref="I84">INDEX($F$49:$V$65,$D84,I$69)</f>
        <v>2</v>
      </c>
      <c r="J84" s="2" cm="1">
        <f t="array" ref="J84">INDEX($F$49:$V$65,$D84,J$69)</f>
        <v>2</v>
      </c>
      <c r="K84" s="2" cm="1">
        <f t="array" ref="K84">INDEX($F$49:$V$65,$D84,K$69)</f>
        <v>2</v>
      </c>
      <c r="L84" s="2" cm="1">
        <f t="array" ref="L84">INDEX($F$49:$V$65,$D84,L$69)</f>
        <v>2</v>
      </c>
      <c r="M84" s="2" cm="1">
        <f t="array" ref="M84">INDEX($F$49:$V$65,$D84,M$69)</f>
        <v>2</v>
      </c>
      <c r="N84" s="2" cm="1">
        <f t="array" ref="N84">INDEX($F$49:$V$65,$D84,N$69)</f>
        <v>5</v>
      </c>
      <c r="O84" s="2" cm="1">
        <f t="array" ref="O84">INDEX($F$49:$V$65,$D84,O$69)</f>
        <v>5</v>
      </c>
      <c r="P84" s="2" cm="1">
        <f t="array" ref="P84">INDEX($F$49:$V$65,$D84,P$69)</f>
        <v>5</v>
      </c>
      <c r="Q84" s="2" cm="1">
        <f t="array" ref="Q84">INDEX($F$49:$V$65,$D84,Q$69)</f>
        <v>5</v>
      </c>
      <c r="R84" s="2" cm="1">
        <f t="array" ref="R84">INDEX($F$49:$V$65,$D84,R$69)</f>
        <v>5</v>
      </c>
      <c r="S84" s="2" cm="1">
        <f t="array" ref="S84">INDEX($F$49:$V$65,$D84,S$69)</f>
        <v>5</v>
      </c>
      <c r="T84" s="2" cm="1">
        <f t="array" ref="T84">INDEX($F$49:$V$65,$D84,T$69)</f>
        <v>4</v>
      </c>
      <c r="U84" s="2"/>
      <c r="V84" s="2"/>
      <c r="W84" s="2">
        <f t="shared" si="52"/>
        <v>12</v>
      </c>
    </row>
    <row r="85" spans="4:23" hidden="1" x14ac:dyDescent="0.25">
      <c r="D85" s="2">
        <f t="shared" si="51"/>
        <v>14</v>
      </c>
      <c r="E85" s="8">
        <v>12</v>
      </c>
      <c r="F85" s="2"/>
      <c r="G85" s="2"/>
      <c r="H85" s="2" cm="1">
        <f t="array" ref="H85">INDEX($F$49:$V$65,$D85,H$69)</f>
        <v>2</v>
      </c>
      <c r="I85" s="2" cm="1">
        <f t="array" ref="I85">INDEX($F$49:$V$65,$D85,I$69)</f>
        <v>2</v>
      </c>
      <c r="J85" s="2" cm="1">
        <f t="array" ref="J85">INDEX($F$49:$V$65,$D85,J$69)</f>
        <v>2</v>
      </c>
      <c r="K85" s="2" cm="1">
        <f t="array" ref="K85">INDEX($F$49:$V$65,$D85,K$69)</f>
        <v>2</v>
      </c>
      <c r="L85" s="2" cm="1">
        <f t="array" ref="L85">INDEX($F$49:$V$65,$D85,L$69)</f>
        <v>2</v>
      </c>
      <c r="M85" s="2" cm="1">
        <f t="array" ref="M85">INDEX($F$49:$V$65,$D85,M$69)</f>
        <v>5</v>
      </c>
      <c r="N85" s="2" cm="1">
        <f t="array" ref="N85">INDEX($F$49:$V$65,$D85,N$69)</f>
        <v>5</v>
      </c>
      <c r="O85" s="2" cm="1">
        <f t="array" ref="O85">INDEX($F$49:$V$65,$D85,O$69)</f>
        <v>5</v>
      </c>
      <c r="P85" s="2" cm="1">
        <f t="array" ref="P85">INDEX($F$49:$V$65,$D85,P$69)</f>
        <v>5</v>
      </c>
      <c r="Q85" s="2" cm="1">
        <f t="array" ref="Q85">INDEX($F$49:$V$65,$D85,Q$69)</f>
        <v>5</v>
      </c>
      <c r="R85" s="2" cm="1">
        <f t="array" ref="R85">INDEX($F$49:$V$65,$D85,R$69)</f>
        <v>5</v>
      </c>
      <c r="S85" s="2" cm="1">
        <f t="array" ref="S85">INDEX($F$49:$V$65,$D85,S$69)</f>
        <v>5</v>
      </c>
      <c r="T85" s="2" cm="1">
        <f t="array" ref="T85">INDEX($F$49:$V$65,$D85,T$69)</f>
        <v>4</v>
      </c>
      <c r="U85" s="2"/>
      <c r="V85" s="2"/>
      <c r="W85" s="2">
        <f t="shared" si="52"/>
        <v>13</v>
      </c>
    </row>
    <row r="86" spans="4:23" hidden="1" x14ac:dyDescent="0.25">
      <c r="D86" s="2">
        <f t="shared" si="51"/>
        <v>15</v>
      </c>
      <c r="E86" s="8">
        <v>13</v>
      </c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>
        <f t="shared" si="52"/>
        <v>14</v>
      </c>
    </row>
    <row r="87" spans="4:23" hidden="1" x14ac:dyDescent="0.25">
      <c r="D87" s="2">
        <f t="shared" si="51"/>
        <v>16</v>
      </c>
      <c r="E87" s="8">
        <v>14</v>
      </c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>
        <f t="shared" si="52"/>
        <v>15</v>
      </c>
    </row>
    <row r="88" spans="4:23" hidden="1" x14ac:dyDescent="0.25"/>
  </sheetData>
  <sheetProtection algorithmName="SHA-512" hashValue="N6ZbtuvclzvtXAq1xFiZ2S734c8gIHMD119F9Us94MmTjlFiK+88agd+RojmIPifNJcjA1y3WZ9LooeT5+hQVQ==" saltValue="ixcKiI2Pke4aKiC+95M/VQ==" spinCount="100000" sheet="1" objects="1" scenarios="1"/>
  <mergeCells count="1">
    <mergeCell ref="C4:D4"/>
  </mergeCells>
  <conditionalFormatting sqref="X4:AJ16">
    <cfRule type="cellIs" dxfId="2" priority="4" operator="equal">
      <formula>0</formula>
    </cfRule>
  </conditionalFormatting>
  <conditionalFormatting sqref="G3:S15">
    <cfRule type="cellIs" dxfId="1" priority="3" operator="equal">
      <formula>0</formula>
    </cfRule>
  </conditionalFormatting>
  <conditionalFormatting sqref="AE22:AQ34">
    <cfRule type="cellIs" dxfId="0" priority="1" operator="equal">
      <formula>0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Sk. Md. Masudul Ahsan</dc:creator>
  <cp:lastModifiedBy>Sk. Md. Masudul Ahsan</cp:lastModifiedBy>
  <dcterms:created xsi:type="dcterms:W3CDTF">2024-05-27T15:37:29Z</dcterms:created>
  <dcterms:modified xsi:type="dcterms:W3CDTF">2025-10-07T10:04:06Z</dcterms:modified>
</cp:coreProperties>
</file>